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4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peye9704_colorado_edu/Documents/2024/AIbyHand/spreadsheets/drafts/xLSTM/"/>
    </mc:Choice>
  </mc:AlternateContent>
  <xr:revisionPtr revIDLastSave="4077" documentId="11_C108F4D04D075B10E6F20DB4C4D570A31B5B33D6" xr6:coauthVersionLast="47" xr6:coauthVersionMax="47" xr10:uidLastSave="{02B4FB86-9973-D34A-93DB-E8D158C81838}"/>
  <bookViews>
    <workbookView xWindow="7700" yWindow="1300" windowWidth="22400" windowHeight="23220" xr2:uid="{00000000-000D-0000-FFFF-FFFF00000000}"/>
  </bookViews>
  <sheets>
    <sheet name="mLSTM" sheetId="15" r:id="rId1"/>
    <sheet name="LICENSE" sheetId="7" r:id="rId2"/>
  </sheets>
  <externalReferences>
    <externalReference r:id="rId3"/>
  </externalReferences>
  <definedNames>
    <definedName name="_alpha1">'[1]ReLU vs. LeakyReLU'!$H$5</definedName>
    <definedName name="_alpha2">'[1]ReLU vs. LeakyReLU'!#REF!</definedName>
    <definedName name="wid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7" i="15" l="1" a="1"/>
  <c r="Z47" i="15" s="1"/>
  <c r="AE47" i="15" s="1" a="1"/>
  <c r="AE47" i="15" s="1"/>
  <c r="Z34" i="15" a="1"/>
  <c r="Z34" i="15" s="1"/>
  <c r="AB34" i="15" s="1"/>
  <c r="AG34" i="15" s="1" a="1"/>
  <c r="AG34" i="15" s="1"/>
  <c r="Z30" i="15" a="1"/>
  <c r="Z30" i="15" s="1"/>
  <c r="Z22" i="15" a="1"/>
  <c r="Z22" i="15" s="1"/>
  <c r="AE22" i="15" s="1" a="1"/>
  <c r="AE22" i="15" s="1"/>
  <c r="Z17" i="15" a="1"/>
  <c r="Z17" i="15" s="1"/>
  <c r="AB17" i="15" s="1" a="1"/>
  <c r="AB17" i="15" s="1"/>
  <c r="AG17" i="15" s="1"/>
  <c r="J26" i="15" a="1"/>
  <c r="J26" i="15" s="1"/>
  <c r="P26" i="15" s="1" a="1"/>
  <c r="P26" i="15" s="1"/>
  <c r="W26" i="15" s="1" a="1"/>
  <c r="W26" i="15" s="1"/>
  <c r="P22" i="15" a="1"/>
  <c r="P22" i="15" s="1"/>
  <c r="U22" i="15" s="1" a="1"/>
  <c r="U22" i="15" s="1"/>
  <c r="P34" i="15" a="1"/>
  <c r="P34" i="15" s="1"/>
  <c r="R34" i="15" s="1"/>
  <c r="P30" i="15" a="1"/>
  <c r="P30" i="15" s="1"/>
  <c r="P47" i="15" a="1"/>
  <c r="P47" i="15" s="1"/>
  <c r="U47" i="15" s="1" a="1"/>
  <c r="U47" i="15" s="1"/>
  <c r="P17" i="15" a="1"/>
  <c r="P17" i="15" s="1"/>
  <c r="R17" i="15" s="1" a="1"/>
  <c r="R17" i="15" s="1"/>
  <c r="W17" i="15" s="1"/>
  <c r="Z26" i="15" l="1" a="1"/>
  <c r="Z26" i="15" s="1"/>
  <c r="AB27" i="15" s="1" a="1"/>
  <c r="AB27" i="15" s="1"/>
  <c r="AB30" i="15" s="1" a="1"/>
  <c r="AB30" i="15" s="1"/>
  <c r="W34" i="15" a="1"/>
  <c r="W34" i="15" s="1"/>
  <c r="W37" i="15" s="1" a="1"/>
  <c r="W37" i="15" s="1"/>
  <c r="R27" i="15" a="1"/>
  <c r="R27" i="15" s="1"/>
  <c r="R30" i="15" s="1" a="1"/>
  <c r="R30" i="15" s="1"/>
  <c r="R37" i="15" s="1" a="1"/>
  <c r="R37" i="15" s="1"/>
  <c r="AG26" i="15" l="1" a="1"/>
  <c r="AG26" i="15" s="1"/>
  <c r="U37" i="15" a="1"/>
  <c r="U37" i="15" s="1"/>
  <c r="AB13" i="15" a="1"/>
  <c r="AB13" i="15" s="1"/>
  <c r="AB37" i="15" s="1" a="1"/>
  <c r="AB37" i="15" s="1"/>
  <c r="AE37" i="15" s="1" a="1"/>
  <c r="AE37" i="15" s="1"/>
  <c r="AG13" i="15" a="1"/>
  <c r="AG13" i="15" s="1"/>
  <c r="AG37" i="15" l="1" a="1"/>
  <c r="AG37" i="15" s="1"/>
  <c r="AE40" i="15" s="1" a="1"/>
  <c r="AE40" i="15" s="1"/>
  <c r="AE43" i="15" s="1" a="1"/>
  <c r="AE43" i="15" s="1"/>
  <c r="AE51" i="15" s="1" a="1"/>
  <c r="AE51" i="15" s="1"/>
  <c r="U40" i="15" a="1"/>
  <c r="U40" i="15" s="1"/>
  <c r="U43" i="15" s="1" a="1"/>
  <c r="U43" i="15" s="1"/>
  <c r="U51" i="15" s="1" a="1"/>
  <c r="U51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<sst xmlns="http://schemas.openxmlformats.org/spreadsheetml/2006/main" count="84" uniqueCount="28">
  <si>
    <t>Time</t>
  </si>
  <si>
    <t xml:space="preserve">t = </t>
  </si>
  <si>
    <t>↓</t>
  </si>
  <si>
    <t>→</t>
  </si>
  <si>
    <t>MIT License</t>
  </si>
  <si>
    <t>Copyright (c) 2024 Tom Yeh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</si>
  <si>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</si>
  <si>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</si>
  <si>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</si>
  <si>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</si>
  <si>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</si>
  <si>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</si>
  <si>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</si>
  <si>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</si>
  <si>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</si>
  <si>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</si>
  <si>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</si>
  <si>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</si>
  <si>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</si>
  <si>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</si>
  <si>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</si>
  <si>
    <t>〜</t>
  </si>
  <si>
    <t>σ</t>
  </si>
  <si>
    <t>⊙</t>
  </si>
  <si>
    <t>+</t>
  </si>
  <si>
    <t>exp</t>
  </si>
  <si>
    <t>/</t>
  </si>
  <si>
    <t>Extended Long Short Term Memory (xLSTM) | AI by Hand  ✍️ © 2024 Tom Yeh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</si>
</sst>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2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444444"/>
      <name val="Inherit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C00000"/>
      <name val="Times New Roman"/>
      <family val="1"/>
    </font>
    <font>
      <b/>
      <sz val="12"/>
      <color rgb="FF000000"/>
      <name val="Arial"/>
      <family val="2"/>
      <scheme val="minor"/>
    </font>
    <font>
      <sz val="11"/>
      <color theme="1"/>
      <name val="Cambria Math"/>
      <family val="1"/>
    </font>
    <font>
      <sz val="11"/>
      <color rgb="FF000000"/>
      <name val="Arial"/>
      <family val="2"/>
      <scheme val="minor"/>
    </font>
    <font>
      <sz val="10"/>
      <color rgb="FFC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8FF"/>
        <bgColor indexed="64"/>
      </patternFill>
    </fill>
    <fill>
      <patternFill patternType="solid">
        <fgColor rgb="FFD8E4EB"/>
        <bgColor indexed="64"/>
      </patternFill>
    </fill>
    <fill>
      <patternFill patternType="solid">
        <fgColor rgb="FFD3E0C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rgb="FFFFF2CC"/>
      </patternFill>
    </fill>
    <fill>
      <patternFill patternType="solid">
        <fgColor rgb="FFFFFED6"/>
        <bgColor rgb="FFFFF2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 style="thin">
        <color theme="1"/>
      </top>
      <bottom style="medium">
        <color rgb="FFFF0000"/>
      </bottom>
      <diagonal/>
    </border>
  </borders>
  <cellStyleXfs count="2">
    <xf numFmtId="0" fontId="0" fillId="0" borderId="0"/>
    <xf numFmtId="0" fontId="5" fillId="0" borderId="0"/>
  </cellStyleXfs>
  <cellXfs count="54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5" fillId="0" borderId="0" xfId="0" applyFont="1"/>
    <xf numFmtId="0" fontId="6" fillId="0" borderId="0" xfId="1" applyFont="1" applyAlignment="1">
      <alignment wrapText="1"/>
    </xf>
    <xf numFmtId="0" fontId="6" fillId="0" borderId="0" xfId="1" applyFont="1"/>
    <xf numFmtId="0" fontId="6" fillId="0" borderId="0" xfId="1" applyFont="1" applyAlignment="1">
      <alignment horizontal="left" wrapText="1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0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1" fillId="0" borderId="0" xfId="0" applyFont="1"/>
    <xf numFmtId="0" fontId="5" fillId="3" borderId="2" xfId="0" applyFont="1" applyFill="1" applyBorder="1" applyAlignment="1">
      <alignment horizontal="center"/>
    </xf>
  </cellXfs>
  <cellStyles count="2">
    <cellStyle name="Normal" xfId="0" builtinId="0"/>
    <cellStyle name="Normal 2" xfId="1" xr:uid="{04E75B4F-6247-D741-8D5F-74C3E14728FD}"/>
  </cellStyles>
  <dxfs count="0"/>
  <tableStyles count="0" defaultTableStyle="TableStyleMedium2" defaultPivotStyle="PivotStyleLight16"/>
  <colors>
    <mruColors>
      <color rgb="FFFFD8FF"/>
      <color rgb="FFFF8AD8"/>
      <color rgb="FFFFFED6"/>
      <color rgb="FFFFFD78"/>
      <color rgb="FFD3E0C9"/>
      <color rgb="FFD8E4EB"/>
      <color rgb="FFFF85FF"/>
      <color rgb="FF00FDFF"/>
      <color rgb="FF00FA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abs/2405.04517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323272</xdr:colOff>
      <xdr:row>28</xdr:row>
      <xdr:rowOff>161637</xdr:rowOff>
    </xdr:from>
    <xdr:to>
      <xdr:col>19</xdr:col>
      <xdr:colOff>46182</xdr:colOff>
      <xdr:row>34</xdr:row>
      <xdr:rowOff>55824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E489F2E-B532-864A-AF35-EA756AC4F2B2}"/>
            </a:ext>
          </a:extLst>
        </xdr:cNvPr>
        <xdr:cNvSpPr/>
      </xdr:nvSpPr>
      <xdr:spPr>
        <a:xfrm>
          <a:off x="6128986" y="10098340"/>
          <a:ext cx="811482" cy="106649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323070</xdr:colOff>
      <xdr:row>41</xdr:row>
      <xdr:rowOff>0</xdr:rowOff>
    </xdr:from>
    <xdr:to>
      <xdr:col>21</xdr:col>
      <xdr:colOff>55703</xdr:colOff>
      <xdr:row>48</xdr:row>
      <xdr:rowOff>77447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D17A073-301F-734F-A2C6-48CE4008235A}"/>
            </a:ext>
          </a:extLst>
        </xdr:cNvPr>
        <xdr:cNvSpPr/>
      </xdr:nvSpPr>
      <xdr:spPr>
        <a:xfrm>
          <a:off x="7308070" y="13925439"/>
          <a:ext cx="467896" cy="1781920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21</xdr:col>
      <xdr:colOff>0</xdr:colOff>
      <xdr:row>21</xdr:row>
      <xdr:rowOff>34925</xdr:rowOff>
    </xdr:from>
    <xdr:ext cx="65" cy="1622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838AAF-D6A6-0847-8B3A-11063CBE0EC9}"/>
            </a:ext>
          </a:extLst>
        </xdr:cNvPr>
        <xdr:cNvSpPr txBox="1"/>
      </xdr:nvSpPr>
      <xdr:spPr>
        <a:xfrm>
          <a:off x="6629400" y="43021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9754</xdr:colOff>
      <xdr:row>35</xdr:row>
      <xdr:rowOff>4944</xdr:rowOff>
    </xdr:from>
    <xdr:ext cx="2529731" cy="170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85FCF75-ECE6-D840-BDDA-AD70FB3DE928}"/>
                </a:ext>
              </a:extLst>
            </xdr:cNvPr>
            <xdr:cNvSpPr txBox="1"/>
          </xdr:nvSpPr>
          <xdr:spPr>
            <a:xfrm>
              <a:off x="1111441" y="10868799"/>
              <a:ext cx="2529731" cy="170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+mn-lt"/>
                </a:rPr>
                <a:t>(19)</a:t>
              </a:r>
              <a:r>
                <a:rPr lang="en-US" sz="1100" b="0" i="0" baseline="0">
                  <a:solidFill>
                    <a:schemeClr val="accent2">
                      <a:lumMod val="75000"/>
                    </a:schemeClr>
                  </a:solidFill>
                  <a:latin typeface="+mn-lt"/>
                </a:rPr>
                <a:t> Cell State: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𝑪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𝑪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−1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)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sSub>
                        <m:sSubPr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(</m:t>
                          </m:r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𝒗</m:t>
                          </m:r>
                        </m:e>
                        <m:sub>
                          <m: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𝑡</m:t>
                          </m:r>
                        </m:sub>
                      </m:sSub>
                      <m:sSubSup>
                        <m:sSubSupPr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sSubSupPr>
                        <m:e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𝒌</m:t>
                          </m:r>
                        </m:e>
                        <m:sub>
                          <m: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𝑡</m:t>
                          </m:r>
                        </m:sub>
                        <m:sup>
                          <m: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𝑇</m:t>
                          </m:r>
                        </m:sup>
                      </m:sSubSup>
                      <m:r>
                        <m:rPr>
                          <m:nor/>
                        </m:rPr>
                        <a:rPr lang="en-US" sz="1100" b="0" i="0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)</m:t>
                      </m:r>
                      <m:r>
                        <m:rPr>
                          <m:nor/>
                        </m:rPr>
                        <a:rPr lang="en-US" sz="1100">
                          <a:solidFill>
                            <a:schemeClr val="accent2">
                              <a:lumMod val="75000"/>
                            </a:schemeClr>
                          </a:solidFill>
                        </a:rPr>
                        <m:t> </m:t>
                      </m:r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𝑖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</m:oMath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85FCF75-ECE6-D840-BDDA-AD70FB3DE928}"/>
                </a:ext>
              </a:extLst>
            </xdr:cNvPr>
            <xdr:cNvSpPr txBox="1"/>
          </xdr:nvSpPr>
          <xdr:spPr>
            <a:xfrm>
              <a:off x="1111441" y="10868799"/>
              <a:ext cx="2529731" cy="170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+mn-lt"/>
                </a:rPr>
                <a:t>(19)</a:t>
              </a:r>
              <a:r>
                <a:rPr lang="en-US" sz="1100" b="0" i="0" baseline="0">
                  <a:solidFill>
                    <a:schemeClr val="accent2">
                      <a:lumMod val="75000"/>
                    </a:schemeClr>
                  </a:solidFill>
                  <a:latin typeface="+mn-lt"/>
                </a:rPr>
                <a:t> Cell State: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𝑪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_𝑡=〖(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𝑪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〗_(𝑡−1))𝑓_𝑡+〖〖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(𝒗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〗_𝑡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𝒌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_𝑡^𝑇 ")</a:t>
              </a:r>
              <a:r>
                <a:rPr lang="en-US" sz="1100" i="0">
                  <a:solidFill>
                    <a:schemeClr val="accent2">
                      <a:lumMod val="75000"/>
                    </a:schemeClr>
                  </a:solidFill>
                </a:rPr>
                <a:t> 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" 𝑖〗_𝑡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75821</xdr:colOff>
      <xdr:row>15</xdr:row>
      <xdr:rowOff>0</xdr:rowOff>
    </xdr:from>
    <xdr:ext cx="172611" cy="1828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EE014A0-97D0-0147-A60E-F3E9094450F7}"/>
                </a:ext>
              </a:extLst>
            </xdr:cNvPr>
            <xdr:cNvSpPr txBox="1"/>
          </xdr:nvSpPr>
          <xdr:spPr>
            <a:xfrm>
              <a:off x="4509276" y="2932545"/>
              <a:ext cx="172611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EE014A0-97D0-0147-A60E-F3E9094450F7}"/>
                </a:ext>
              </a:extLst>
            </xdr:cNvPr>
            <xdr:cNvSpPr txBox="1"/>
          </xdr:nvSpPr>
          <xdr:spPr>
            <a:xfrm>
              <a:off x="4509276" y="2932545"/>
              <a:ext cx="172611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𝑏_𝑓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73909</xdr:colOff>
      <xdr:row>15</xdr:row>
      <xdr:rowOff>0</xdr:rowOff>
    </xdr:from>
    <xdr:ext cx="212238" cy="1828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A6EAF79-8BE1-EC48-9FA2-4E22548A7B4F}"/>
                </a:ext>
              </a:extLst>
            </xdr:cNvPr>
            <xdr:cNvSpPr txBox="1"/>
          </xdr:nvSpPr>
          <xdr:spPr>
            <a:xfrm>
              <a:off x="3399000" y="2914952"/>
              <a:ext cx="212238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A6EAF79-8BE1-EC48-9FA2-4E22548A7B4F}"/>
                </a:ext>
              </a:extLst>
            </xdr:cNvPr>
            <xdr:cNvSpPr txBox="1"/>
          </xdr:nvSpPr>
          <xdr:spPr>
            <a:xfrm>
              <a:off x="3399000" y="2914952"/>
              <a:ext cx="212238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𝒘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_𝑓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76579</xdr:colOff>
      <xdr:row>24</xdr:row>
      <xdr:rowOff>758</xdr:rowOff>
    </xdr:from>
    <xdr:ext cx="19595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D18A7F2-FAEF-6A44-A088-71AD57AEDA1F}"/>
                </a:ext>
              </a:extLst>
            </xdr:cNvPr>
            <xdr:cNvSpPr txBox="1"/>
          </xdr:nvSpPr>
          <xdr:spPr>
            <a:xfrm>
              <a:off x="4510034" y="3885803"/>
              <a:ext cx="1959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𝒃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D18A7F2-FAEF-6A44-A088-71AD57AEDA1F}"/>
                </a:ext>
              </a:extLst>
            </xdr:cNvPr>
            <xdr:cNvSpPr txBox="1"/>
          </xdr:nvSpPr>
          <xdr:spPr>
            <a:xfrm>
              <a:off x="4510034" y="3885803"/>
              <a:ext cx="19595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𝒃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_𝑘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82834</xdr:colOff>
      <xdr:row>45</xdr:row>
      <xdr:rowOff>0</xdr:rowOff>
    </xdr:from>
    <xdr:ext cx="19351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E87C2A0-4E4A-EE4B-97C9-DA58EFD94CAD}"/>
                </a:ext>
              </a:extLst>
            </xdr:cNvPr>
            <xdr:cNvSpPr txBox="1"/>
          </xdr:nvSpPr>
          <xdr:spPr>
            <a:xfrm>
              <a:off x="4478988" y="10542903"/>
              <a:ext cx="19351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𝒃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𝒐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E87C2A0-4E4A-EE4B-97C9-DA58EFD94CAD}"/>
                </a:ext>
              </a:extLst>
            </xdr:cNvPr>
            <xdr:cNvSpPr txBox="1"/>
          </xdr:nvSpPr>
          <xdr:spPr>
            <a:xfrm>
              <a:off x="4478988" y="10542903"/>
              <a:ext cx="19351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𝒃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𝒐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69376</xdr:colOff>
      <xdr:row>45</xdr:row>
      <xdr:rowOff>3032</xdr:rowOff>
    </xdr:from>
    <xdr:ext cx="24660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1283D57-1AD9-7C4F-ADE8-86DD19B98240}"/>
                </a:ext>
              </a:extLst>
            </xdr:cNvPr>
            <xdr:cNvSpPr txBox="1"/>
          </xdr:nvSpPr>
          <xdr:spPr>
            <a:xfrm>
              <a:off x="3366491" y="10558686"/>
              <a:ext cx="24660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𝑾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𝒐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1283D57-1AD9-7C4F-ADE8-86DD19B98240}"/>
                </a:ext>
              </a:extLst>
            </xdr:cNvPr>
            <xdr:cNvSpPr txBox="1"/>
          </xdr:nvSpPr>
          <xdr:spPr>
            <a:xfrm>
              <a:off x="3366491" y="10558686"/>
              <a:ext cx="24660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𝑾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𝒐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9754</xdr:colOff>
      <xdr:row>49</xdr:row>
      <xdr:rowOff>2260</xdr:rowOff>
    </xdr:from>
    <xdr:ext cx="2171557" cy="1781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2AFE44D-F6E6-124C-9405-51C9EE1F99AF}"/>
                </a:ext>
              </a:extLst>
            </xdr:cNvPr>
            <xdr:cNvSpPr txBox="1"/>
          </xdr:nvSpPr>
          <xdr:spPr>
            <a:xfrm>
              <a:off x="1111441" y="13436718"/>
              <a:ext cx="2171557" cy="1781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(21-a)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</a:rPr>
                <a:t> Hidden State:</a:t>
              </a: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𝒉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𝒐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⊙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̃"/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𝒉</m:t>
                          </m:r>
                        </m:e>
                      </m:acc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</m:oMath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2AFE44D-F6E6-124C-9405-51C9EE1F99AF}"/>
                </a:ext>
              </a:extLst>
            </xdr:cNvPr>
            <xdr:cNvSpPr txBox="1"/>
          </xdr:nvSpPr>
          <xdr:spPr>
            <a:xfrm>
              <a:off x="1111441" y="13436718"/>
              <a:ext cx="2171557" cy="1781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(21-a)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</a:rPr>
                <a:t> Hidden State:</a:t>
              </a: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𝒉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_𝑡=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𝒐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_𝑡⊙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𝒉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 ̃_𝑡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9754</xdr:colOff>
      <xdr:row>39</xdr:row>
      <xdr:rowOff>29183</xdr:rowOff>
    </xdr:from>
    <xdr:ext cx="2998000" cy="1783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622F159-FDAD-7F42-AD63-3B507E9EEE79}"/>
                </a:ext>
              </a:extLst>
            </xdr:cNvPr>
            <xdr:cNvSpPr txBox="1"/>
          </xdr:nvSpPr>
          <xdr:spPr>
            <a:xfrm>
              <a:off x="1111441" y="11627496"/>
              <a:ext cx="2998000" cy="1783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(21-b) Hidden state: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̃"/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𝒉</m:t>
                          </m:r>
                        </m:e>
                      </m:acc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𝑪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𝒒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 /</m:t>
                  </m:r>
                  <m:r>
                    <m:rPr>
                      <m:sty m:val="p"/>
                    </m:rPr>
                    <a:rPr lang="en-US" sz="1100" b="0" i="0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max</m:t>
                  </m:r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⁡({|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𝒏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sSubSup>
                    <m:sSubSup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𝒒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  <m:sup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𝑇</m:t>
                      </m:r>
                    </m:sup>
                  </m:sSubSup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|,1}</m:t>
                  </m:r>
                  <m:r>
                    <m:rPr>
                      <m:nor/>
                    </m:rPr>
                    <a:rPr lang="en-US" sz="1100" b="0" i="0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)</m:t>
                  </m:r>
                </m:oMath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622F159-FDAD-7F42-AD63-3B507E9EEE79}"/>
                </a:ext>
              </a:extLst>
            </xdr:cNvPr>
            <xdr:cNvSpPr txBox="1"/>
          </xdr:nvSpPr>
          <xdr:spPr>
            <a:xfrm>
              <a:off x="1111441" y="11627496"/>
              <a:ext cx="2998000" cy="1783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(21-b) Hidden state: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𝒉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 ̃_𝑡=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𝑪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𝒒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  /max⁡({|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𝒏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𝒒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_𝑡^𝑇 |,1}")"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15</xdr:col>
      <xdr:colOff>109681</xdr:colOff>
      <xdr:row>3</xdr:row>
      <xdr:rowOff>187819</xdr:rowOff>
    </xdr:from>
    <xdr:ext cx="18472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25D894-D21E-A644-A882-99EA18DE4B33}"/>
                </a:ext>
              </a:extLst>
            </xdr:cNvPr>
            <xdr:cNvSpPr txBox="1"/>
          </xdr:nvSpPr>
          <xdr:spPr>
            <a:xfrm>
              <a:off x="5651499" y="1596364"/>
              <a:ext cx="1847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25D894-D21E-A644-A882-99EA18DE4B33}"/>
                </a:ext>
              </a:extLst>
            </xdr:cNvPr>
            <xdr:cNvSpPr txBox="1"/>
          </xdr:nvSpPr>
          <xdr:spPr>
            <a:xfrm>
              <a:off x="5651499" y="1596364"/>
              <a:ext cx="1847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𝒙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9754</xdr:colOff>
      <xdr:row>23</xdr:row>
      <xdr:rowOff>0</xdr:rowOff>
    </xdr:from>
    <xdr:ext cx="2260875" cy="2520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9E7C16E-8D52-D849-841B-A19802340DFD}"/>
                </a:ext>
              </a:extLst>
            </xdr:cNvPr>
            <xdr:cNvSpPr txBox="1"/>
          </xdr:nvSpPr>
          <xdr:spPr>
            <a:xfrm>
              <a:off x="1111441" y="8660482"/>
              <a:ext cx="2260875" cy="2520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(23) Key Input:  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sSub>
                        <m:sSubPr>
                          <m:ctrlP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𝒌</m:t>
                          </m:r>
                        </m:e>
                        <m:sub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𝒕</m:t>
                          </m:r>
                        </m:sub>
                      </m:s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𝟏</m:t>
                          </m:r>
                        </m:num>
                        <m:den>
                          <m:rad>
                            <m:radPr>
                              <m:degHide m:val="on"/>
                              <m:ctrlPr>
                                <a:rPr lang="en-US" sz="1100" b="1" i="1">
                                  <a:solidFill>
                                    <a:schemeClr val="accent2">
                                      <a:lumMod val="75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radPr>
                            <m:deg/>
                            <m:e>
                              <m:r>
                                <a:rPr lang="en-US" sz="1100" b="1" i="1">
                                  <a:solidFill>
                                    <a:schemeClr val="accent2">
                                      <a:lumMod val="75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  <m:t>𝒅</m:t>
                              </m:r>
                            </m:e>
                          </m:rad>
                        </m:den>
                      </m:f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𝑾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𝐾</m:t>
                      </m:r>
                    </m:sub>
                  </m:sSub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𝒙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𝑘</m:t>
                      </m:r>
                    </m:sub>
                  </m:sSub>
                  <m:r>
                    <a:rPr lang="en-US" sz="1100" b="0" i="0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 </m:t>
                  </m:r>
                </m:oMath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9E7C16E-8D52-D849-841B-A19802340DFD}"/>
                </a:ext>
              </a:extLst>
            </xdr:cNvPr>
            <xdr:cNvSpPr txBox="1"/>
          </xdr:nvSpPr>
          <xdr:spPr>
            <a:xfrm>
              <a:off x="1111441" y="8660482"/>
              <a:ext cx="2260875" cy="2520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(23) Key Input:   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𝒌_𝒕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=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𝟏/√𝒅 𝑾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〗_𝐾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𝒙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_𝑡+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𝒃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_𝑘  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15</xdr:col>
      <xdr:colOff>94108</xdr:colOff>
      <xdr:row>24</xdr:row>
      <xdr:rowOff>4261</xdr:rowOff>
    </xdr:from>
    <xdr:ext cx="17940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A6F5A72-4035-7341-908C-BCC63EF5F82A}"/>
                </a:ext>
              </a:extLst>
            </xdr:cNvPr>
            <xdr:cNvSpPr txBox="1"/>
          </xdr:nvSpPr>
          <xdr:spPr>
            <a:xfrm>
              <a:off x="5635926" y="3889306"/>
              <a:ext cx="1794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𝒌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A6F5A72-4035-7341-908C-BCC63EF5F82A}"/>
                </a:ext>
              </a:extLst>
            </xdr:cNvPr>
            <xdr:cNvSpPr txBox="1"/>
          </xdr:nvSpPr>
          <xdr:spPr>
            <a:xfrm>
              <a:off x="5635926" y="3889306"/>
              <a:ext cx="1794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𝒌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9754</xdr:colOff>
      <xdr:row>14</xdr:row>
      <xdr:rowOff>5387</xdr:rowOff>
    </xdr:from>
    <xdr:ext cx="2913170" cy="1940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53DA2C7-0F68-EE46-A0DF-74E4464CA4D6}"/>
                </a:ext>
              </a:extLst>
            </xdr:cNvPr>
            <xdr:cNvSpPr txBox="1"/>
          </xdr:nvSpPr>
          <xdr:spPr>
            <a:xfrm>
              <a:off x="1111441" y="7013339"/>
              <a:ext cx="2913170" cy="1940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(26) Forget Gate:  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sSub>
                        <m:sSubPr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𝑓</m:t>
                          </m:r>
                        </m:e>
                        <m:sub>
                          <m: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𝑡</m:t>
                          </m:r>
                        </m:sub>
                      </m:s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l-GR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𝜎</m:t>
                      </m:r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(</m:t>
                      </m:r>
                      <m:acc>
                        <m:accPr>
                          <m:chr m:val="̃"/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𝑓</m:t>
                          </m:r>
                        </m:e>
                      </m:acc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)</m:t>
                  </m:r>
                  <m:r>
                    <a:rPr lang="en-US" sz="1100" b="0" i="0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, </m:t>
                  </m:r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 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̃"/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𝑓</m:t>
                          </m:r>
                        </m:e>
                      </m:acc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𝒘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𝑓</m:t>
                      </m:r>
                    </m:sub>
                  </m:sSub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𝒙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𝑏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𝑓</m:t>
                      </m:r>
                    </m:sub>
                  </m:sSub>
                  <m:r>
                    <a:rPr lang="en-US" sz="1100" b="0" i="0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 </m:t>
                  </m:r>
                </m:oMath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53DA2C7-0F68-EE46-A0DF-74E4464CA4D6}"/>
                </a:ext>
              </a:extLst>
            </xdr:cNvPr>
            <xdr:cNvSpPr txBox="1"/>
          </xdr:nvSpPr>
          <xdr:spPr>
            <a:xfrm>
              <a:off x="1111441" y="7013339"/>
              <a:ext cx="2913170" cy="1940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(26) Forget Gate:   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〖𝑓_𝑡=</a:t>
              </a:r>
              <a:r>
                <a:rPr lang="el-GR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𝜎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(𝑓 ̃〗_𝑡),  𝑓 ̃_𝑡=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𝒘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_𝑓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𝒙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_𝑡+𝑏_𝑓  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17</xdr:col>
      <xdr:colOff>76710</xdr:colOff>
      <xdr:row>15</xdr:row>
      <xdr:rowOff>0</xdr:rowOff>
    </xdr:from>
    <xdr:ext cx="14863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695964C-3827-BB49-853F-7C7240BB52B9}"/>
                </a:ext>
              </a:extLst>
            </xdr:cNvPr>
            <xdr:cNvSpPr txBox="1"/>
          </xdr:nvSpPr>
          <xdr:spPr>
            <a:xfrm>
              <a:off x="6267960" y="2885515"/>
              <a:ext cx="1486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695964C-3827-BB49-853F-7C7240BB52B9}"/>
                </a:ext>
              </a:extLst>
            </xdr:cNvPr>
            <xdr:cNvSpPr txBox="1"/>
          </xdr:nvSpPr>
          <xdr:spPr>
            <a:xfrm>
              <a:off x="6267960" y="2885515"/>
              <a:ext cx="1486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𝑓_𝑡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15</xdr:col>
      <xdr:colOff>80972</xdr:colOff>
      <xdr:row>15</xdr:row>
      <xdr:rowOff>0</xdr:rowOff>
    </xdr:from>
    <xdr:ext cx="148630" cy="176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21485B8-A415-D041-9207-5B3C3F050982}"/>
                </a:ext>
              </a:extLst>
            </xdr:cNvPr>
            <xdr:cNvSpPr txBox="1"/>
          </xdr:nvSpPr>
          <xdr:spPr>
            <a:xfrm>
              <a:off x="5543840" y="2885515"/>
              <a:ext cx="148630" cy="176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̃"/>
                            <m:ctrlPr>
                              <a:rPr lang="en-US" sz="1100" b="0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21485B8-A415-D041-9207-5B3C3F050982}"/>
                </a:ext>
              </a:extLst>
            </xdr:cNvPr>
            <xdr:cNvSpPr txBox="1"/>
          </xdr:nvSpPr>
          <xdr:spPr>
            <a:xfrm>
              <a:off x="5543840" y="2885515"/>
              <a:ext cx="148630" cy="176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𝑓 ̃_𝑡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17</xdr:col>
      <xdr:colOff>29612</xdr:colOff>
      <xdr:row>10</xdr:row>
      <xdr:rowOff>187982</xdr:rowOff>
    </xdr:from>
    <xdr:ext cx="31604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BF13B86-0157-B94F-A247-86DF1237B186}"/>
                </a:ext>
              </a:extLst>
            </xdr:cNvPr>
            <xdr:cNvSpPr txBox="1"/>
          </xdr:nvSpPr>
          <xdr:spPr>
            <a:xfrm>
              <a:off x="6310339" y="1787027"/>
              <a:ext cx="31604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𝑪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BF13B86-0157-B94F-A247-86DF1237B186}"/>
                </a:ext>
              </a:extLst>
            </xdr:cNvPr>
            <xdr:cNvSpPr txBox="1"/>
          </xdr:nvSpPr>
          <xdr:spPr>
            <a:xfrm>
              <a:off x="6310339" y="1787027"/>
              <a:ext cx="31604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𝑪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_(𝑡−1)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9754</xdr:colOff>
      <xdr:row>31</xdr:row>
      <xdr:rowOff>49603</xdr:rowOff>
    </xdr:from>
    <xdr:ext cx="285020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DDBBAF34-2BA7-EB4B-8B81-57A99DD00A05}"/>
                </a:ext>
              </a:extLst>
            </xdr:cNvPr>
            <xdr:cNvSpPr txBox="1"/>
          </xdr:nvSpPr>
          <xdr:spPr>
            <a:xfrm>
              <a:off x="1111441" y="10179001"/>
              <a:ext cx="2850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(25) Input Gate:  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sSub>
                        <m:sSubPr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𝑖</m:t>
                          </m:r>
                        </m:e>
                        <m:sub>
                          <m: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𝑡</m:t>
                          </m:r>
                        </m:sub>
                      </m:s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𝑒𝑥𝑝</m:t>
                      </m:r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(</m:t>
                      </m:r>
                      <m:acc>
                        <m:accPr>
                          <m:chr m:val="̃"/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𝑖</m:t>
                          </m:r>
                        </m:e>
                      </m:acc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)</m:t>
                  </m:r>
                  <m:r>
                    <a:rPr lang="en-US" sz="1100" b="0" i="0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, </m:t>
                  </m:r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 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̃"/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𝑖</m:t>
                          </m:r>
                        </m:e>
                      </m:acc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𝒘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𝒙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𝑏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en-US" sz="1100" b="0" i="0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 </m:t>
                  </m:r>
                </m:oMath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DDBBAF34-2BA7-EB4B-8B81-57A99DD00A05}"/>
                </a:ext>
              </a:extLst>
            </xdr:cNvPr>
            <xdr:cNvSpPr txBox="1"/>
          </xdr:nvSpPr>
          <xdr:spPr>
            <a:xfrm>
              <a:off x="1111441" y="10179001"/>
              <a:ext cx="285020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(25) Input Gate:   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〖𝑖_𝑡=𝑒𝑥𝑝(𝑖 ̃〗_𝑡),  𝑖 ̃_𝑡=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𝒘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_𝑖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𝒙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_𝑡+𝑏_𝑖  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17</xdr:col>
      <xdr:colOff>98021</xdr:colOff>
      <xdr:row>32</xdr:row>
      <xdr:rowOff>4262</xdr:rowOff>
    </xdr:from>
    <xdr:ext cx="1377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704B435-2420-7A4B-B76C-3D03E3EDE73E}"/>
                </a:ext>
              </a:extLst>
            </xdr:cNvPr>
            <xdr:cNvSpPr txBox="1"/>
          </xdr:nvSpPr>
          <xdr:spPr>
            <a:xfrm>
              <a:off x="6378748" y="6175307"/>
              <a:ext cx="1377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704B435-2420-7A4B-B76C-3D03E3EDE73E}"/>
                </a:ext>
              </a:extLst>
            </xdr:cNvPr>
            <xdr:cNvSpPr txBox="1"/>
          </xdr:nvSpPr>
          <xdr:spPr>
            <a:xfrm>
              <a:off x="6378748" y="6175307"/>
              <a:ext cx="1377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𝑖_𝑡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9754</xdr:colOff>
      <xdr:row>43</xdr:row>
      <xdr:rowOff>173987</xdr:rowOff>
    </xdr:from>
    <xdr:ext cx="304153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96A1D0D-79EE-DB4B-84EA-F8872DAFF86C}"/>
                </a:ext>
              </a:extLst>
            </xdr:cNvPr>
            <xdr:cNvSpPr txBox="1"/>
          </xdr:nvSpPr>
          <xdr:spPr>
            <a:xfrm>
              <a:off x="1111441" y="12506758"/>
              <a:ext cx="3041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(27) Output Gate:  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sSub>
                        <m:sSubPr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𝒐</m:t>
                          </m:r>
                        </m:e>
                        <m:sub>
                          <m: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𝑡</m:t>
                          </m:r>
                        </m:sub>
                      </m:s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l-GR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𝜎</m:t>
                      </m:r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(</m:t>
                      </m:r>
                      <m:acc>
                        <m:accPr>
                          <m:chr m:val="̃"/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𝒐</m:t>
                          </m:r>
                        </m:e>
                      </m:acc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)</m:t>
                  </m:r>
                  <m:r>
                    <a:rPr lang="en-US" sz="1100" b="0" i="0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, </m:t>
                  </m:r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 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acc>
                        <m:accPr>
                          <m:chr m:val="̃"/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𝒐</m:t>
                          </m:r>
                        </m:e>
                      </m:acc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𝑾</m:t>
                      </m:r>
                    </m:e>
                    <m:sub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𝒐</m:t>
                      </m:r>
                    </m:sub>
                  </m:sSub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𝒙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𝒐</m:t>
                      </m:r>
                    </m:sub>
                  </m:sSub>
                  <m:r>
                    <a:rPr lang="en-US" sz="1100" b="0" i="0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 </m:t>
                  </m:r>
                </m:oMath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96A1D0D-79EE-DB4B-84EA-F8872DAFF86C}"/>
                </a:ext>
              </a:extLst>
            </xdr:cNvPr>
            <xdr:cNvSpPr txBox="1"/>
          </xdr:nvSpPr>
          <xdr:spPr>
            <a:xfrm>
              <a:off x="1111441" y="12506758"/>
              <a:ext cx="304153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(27) Output Gate:   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𝒐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_𝑡=</a:t>
              </a:r>
              <a:r>
                <a:rPr lang="el-GR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𝜎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𝒐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 ̃〗_𝑡), 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𝒐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 ̃_𝑡=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𝑾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𝒐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𝒙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_𝑡+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𝒃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𝒐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  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106543</xdr:colOff>
      <xdr:row>45</xdr:row>
      <xdr:rowOff>4262</xdr:rowOff>
    </xdr:from>
    <xdr:ext cx="17447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B2CAE15D-A6D0-DA4D-AAF8-F8191158A7AB}"/>
                </a:ext>
              </a:extLst>
            </xdr:cNvPr>
            <xdr:cNvSpPr txBox="1"/>
          </xdr:nvSpPr>
          <xdr:spPr>
            <a:xfrm>
              <a:off x="6387270" y="9032807"/>
              <a:ext cx="17447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𝒐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B2CAE15D-A6D0-DA4D-AAF8-F8191158A7AB}"/>
                </a:ext>
              </a:extLst>
            </xdr:cNvPr>
            <xdr:cNvSpPr txBox="1"/>
          </xdr:nvSpPr>
          <xdr:spPr>
            <a:xfrm>
              <a:off x="6387270" y="9032807"/>
              <a:ext cx="17447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𝒐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15</xdr:col>
      <xdr:colOff>106543</xdr:colOff>
      <xdr:row>45</xdr:row>
      <xdr:rowOff>4262</xdr:rowOff>
    </xdr:from>
    <xdr:ext cx="17447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F3C7580A-75EC-8941-BF1D-C173E1687E53}"/>
                </a:ext>
              </a:extLst>
            </xdr:cNvPr>
            <xdr:cNvSpPr txBox="1"/>
          </xdr:nvSpPr>
          <xdr:spPr>
            <a:xfrm>
              <a:off x="5648361" y="9032807"/>
              <a:ext cx="17447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̃"/>
                            <m:ctrlPr>
                              <a:rPr lang="en-US" sz="1100" b="0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𝒐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F3C7580A-75EC-8941-BF1D-C173E1687E53}"/>
                </a:ext>
              </a:extLst>
            </xdr:cNvPr>
            <xdr:cNvSpPr txBox="1"/>
          </xdr:nvSpPr>
          <xdr:spPr>
            <a:xfrm>
              <a:off x="5648361" y="9032807"/>
              <a:ext cx="17447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𝒐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 ̃_𝑡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89496</xdr:colOff>
      <xdr:row>49</xdr:row>
      <xdr:rowOff>4262</xdr:rowOff>
    </xdr:from>
    <xdr:ext cx="18222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37745597-1758-7F4D-AAF7-7B71B003BB94}"/>
                </a:ext>
              </a:extLst>
            </xdr:cNvPr>
            <xdr:cNvSpPr txBox="1"/>
          </xdr:nvSpPr>
          <xdr:spPr>
            <a:xfrm>
              <a:off x="6317381" y="11321916"/>
              <a:ext cx="18222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𝒉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37745597-1758-7F4D-AAF7-7B71B003BB94}"/>
                </a:ext>
              </a:extLst>
            </xdr:cNvPr>
            <xdr:cNvSpPr txBox="1"/>
          </xdr:nvSpPr>
          <xdr:spPr>
            <a:xfrm>
              <a:off x="6317381" y="11321916"/>
              <a:ext cx="18222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𝒉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17</xdr:col>
      <xdr:colOff>103855</xdr:colOff>
      <xdr:row>35</xdr:row>
      <xdr:rowOff>1049</xdr:rowOff>
    </xdr:from>
    <xdr:ext cx="18158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9A2923EF-13A2-694A-BD0F-EAB0B70401DC}"/>
                </a:ext>
              </a:extLst>
            </xdr:cNvPr>
            <xdr:cNvSpPr txBox="1"/>
          </xdr:nvSpPr>
          <xdr:spPr>
            <a:xfrm>
              <a:off x="6384582" y="7124594"/>
              <a:ext cx="18158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𝑪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9A2923EF-13A2-694A-BD0F-EAB0B70401DC}"/>
                </a:ext>
              </a:extLst>
            </xdr:cNvPr>
            <xdr:cNvSpPr txBox="1"/>
          </xdr:nvSpPr>
          <xdr:spPr>
            <a:xfrm>
              <a:off x="6384582" y="7124594"/>
              <a:ext cx="18158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𝑪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78155</xdr:colOff>
      <xdr:row>41</xdr:row>
      <xdr:rowOff>14655</xdr:rowOff>
    </xdr:from>
    <xdr:ext cx="182229" cy="1781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73FA2282-35D0-F844-9E5F-C57B1ABC5AAE}"/>
                </a:ext>
              </a:extLst>
            </xdr:cNvPr>
            <xdr:cNvSpPr txBox="1"/>
          </xdr:nvSpPr>
          <xdr:spPr>
            <a:xfrm>
              <a:off x="6358882" y="9805200"/>
              <a:ext cx="182229" cy="1781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̃"/>
                            <m:ctrlPr>
                              <a:rPr lang="en-US" sz="1100" b="0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𝒉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73FA2282-35D0-F844-9E5F-C57B1ABC5AAE}"/>
                </a:ext>
              </a:extLst>
            </xdr:cNvPr>
            <xdr:cNvSpPr txBox="1"/>
          </xdr:nvSpPr>
          <xdr:spPr>
            <a:xfrm>
              <a:off x="6358882" y="9805200"/>
              <a:ext cx="182229" cy="1781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𝒉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 ̃_𝑡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16</xdr:col>
      <xdr:colOff>319827</xdr:colOff>
      <xdr:row>10</xdr:row>
      <xdr:rowOff>144825</xdr:rowOff>
    </xdr:from>
    <xdr:to>
      <xdr:col>19</xdr:col>
      <xdr:colOff>40409</xdr:colOff>
      <xdr:row>17</xdr:row>
      <xdr:rowOff>46691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5634C7-D49E-9347-A7EA-29BD66F283EA}"/>
            </a:ext>
          </a:extLst>
        </xdr:cNvPr>
        <xdr:cNvSpPr/>
      </xdr:nvSpPr>
      <xdr:spPr>
        <a:xfrm>
          <a:off x="6187634" y="6501616"/>
          <a:ext cx="820796" cy="1613310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3</xdr:col>
      <xdr:colOff>57733</xdr:colOff>
      <xdr:row>5</xdr:row>
      <xdr:rowOff>84043</xdr:rowOff>
    </xdr:from>
    <xdr:ext cx="1400736" cy="254429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6D41569-2A18-B24B-875C-98891A1351AA}"/>
            </a:ext>
          </a:extLst>
        </xdr:cNvPr>
        <xdr:cNvSpPr txBox="1"/>
      </xdr:nvSpPr>
      <xdr:spPr>
        <a:xfrm>
          <a:off x="1174457" y="5536284"/>
          <a:ext cx="1400736" cy="254429"/>
        </a:xfrm>
        <a:prstGeom prst="rect">
          <a:avLst/>
        </a:prstGeom>
        <a:solidFill>
          <a:srgbClr val="D3E0C9"/>
        </a:solidFill>
        <a:ln w="952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sz="1100" kern="1200"/>
            <a:t>Long-term Memory</a:t>
          </a:r>
          <a:r>
            <a:rPr lang="en-US" sz="1100" kern="1200" baseline="0"/>
            <a:t> </a:t>
          </a:r>
          <a:endParaRPr lang="en-US" sz="1100" kern="1200"/>
        </a:p>
      </xdr:txBody>
    </xdr:sp>
    <xdr:clientData/>
  </xdr:oneCellAnchor>
  <xdr:oneCellAnchor>
    <xdr:from>
      <xdr:col>3</xdr:col>
      <xdr:colOff>57733</xdr:colOff>
      <xdr:row>7</xdr:row>
      <xdr:rowOff>87033</xdr:rowOff>
    </xdr:from>
    <xdr:ext cx="1416421" cy="254429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7ED60BA-1547-B047-BC72-0175DCD663B6}"/>
            </a:ext>
          </a:extLst>
        </xdr:cNvPr>
        <xdr:cNvSpPr txBox="1"/>
      </xdr:nvSpPr>
      <xdr:spPr>
        <a:xfrm>
          <a:off x="1174457" y="5933412"/>
          <a:ext cx="1416421" cy="254429"/>
        </a:xfrm>
        <a:prstGeom prst="rect">
          <a:avLst/>
        </a:prstGeom>
        <a:solidFill>
          <a:srgbClr val="FFFED6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sz="1100" kern="1200"/>
            <a:t>Short-term Memory</a:t>
          </a:r>
          <a:r>
            <a:rPr lang="en-US" sz="1100" kern="1200" baseline="0"/>
            <a:t> </a:t>
          </a:r>
          <a:endParaRPr lang="en-US" sz="1100" kern="1200"/>
        </a:p>
      </xdr:txBody>
    </xdr:sp>
    <xdr:clientData/>
  </xdr:oneCellAnchor>
  <xdr:oneCellAnchor>
    <xdr:from>
      <xdr:col>3</xdr:col>
      <xdr:colOff>57733</xdr:colOff>
      <xdr:row>9</xdr:row>
      <xdr:rowOff>93384</xdr:rowOff>
    </xdr:from>
    <xdr:ext cx="644337" cy="254429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01515BF-6390-D84F-8AA5-CA47F3A84535}"/>
            </a:ext>
          </a:extLst>
        </xdr:cNvPr>
        <xdr:cNvSpPr txBox="1"/>
      </xdr:nvSpPr>
      <xdr:spPr>
        <a:xfrm>
          <a:off x="1174457" y="6333901"/>
          <a:ext cx="644337" cy="254429"/>
        </a:xfrm>
        <a:prstGeom prst="rect">
          <a:avLst/>
        </a:prstGeom>
        <a:solidFill>
          <a:srgbClr val="D8E4EB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sz="1100" kern="1200"/>
            <a:t>Gates</a:t>
          </a:r>
        </a:p>
      </xdr:txBody>
    </xdr:sp>
    <xdr:clientData/>
  </xdr:oneCellAnchor>
  <xdr:oneCellAnchor>
    <xdr:from>
      <xdr:col>24</xdr:col>
      <xdr:colOff>0</xdr:colOff>
      <xdr:row>21</xdr:row>
      <xdr:rowOff>34925</xdr:rowOff>
    </xdr:from>
    <xdr:ext cx="65" cy="162224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94D5B26-2E5A-E845-B910-BDA70D33BBB2}"/>
            </a:ext>
          </a:extLst>
        </xdr:cNvPr>
        <xdr:cNvSpPr txBox="1"/>
      </xdr:nvSpPr>
      <xdr:spPr>
        <a:xfrm>
          <a:off x="7734300" y="43021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24</xdr:col>
      <xdr:colOff>0</xdr:colOff>
      <xdr:row>28</xdr:row>
      <xdr:rowOff>8524</xdr:rowOff>
    </xdr:from>
    <xdr:ext cx="65" cy="162096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1E7D68D-3182-D145-8377-534175AAE9A6}"/>
            </a:ext>
          </a:extLst>
        </xdr:cNvPr>
        <xdr:cNvSpPr txBox="1"/>
      </xdr:nvSpPr>
      <xdr:spPr>
        <a:xfrm>
          <a:off x="7734300" y="5228224"/>
          <a:ext cx="65" cy="16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solidFill>
              <a:srgbClr val="C00000"/>
            </a:solidFill>
          </a:endParaRPr>
        </a:p>
      </xdr:txBody>
    </xdr:sp>
    <xdr:clientData/>
  </xdr:oneCellAnchor>
  <xdr:oneCellAnchor>
    <xdr:from>
      <xdr:col>16</xdr:col>
      <xdr:colOff>315900</xdr:colOff>
      <xdr:row>8</xdr:row>
      <xdr:rowOff>117075</xdr:rowOff>
    </xdr:from>
    <xdr:ext cx="725393" cy="416524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457B6C8-82C0-6C4D-89D5-8971BCBD63F7}"/>
            </a:ext>
          </a:extLst>
        </xdr:cNvPr>
        <xdr:cNvSpPr txBox="1"/>
      </xdr:nvSpPr>
      <xdr:spPr>
        <a:xfrm>
          <a:off x="6121614" y="6146086"/>
          <a:ext cx="725393" cy="4165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 kern="1200"/>
            <a:t>Cell State</a:t>
          </a:r>
        </a:p>
      </xdr:txBody>
    </xdr:sp>
    <xdr:clientData/>
  </xdr:oneCellAnchor>
  <xdr:oneCellAnchor>
    <xdr:from>
      <xdr:col>21</xdr:col>
      <xdr:colOff>92708</xdr:colOff>
      <xdr:row>8</xdr:row>
      <xdr:rowOff>90563</xdr:rowOff>
    </xdr:from>
    <xdr:ext cx="902448" cy="416524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19F09C1-2717-AE41-A5C8-A4E76A299D03}"/>
            </a:ext>
          </a:extLst>
        </xdr:cNvPr>
        <xdr:cNvSpPr txBox="1"/>
      </xdr:nvSpPr>
      <xdr:spPr>
        <a:xfrm>
          <a:off x="7712708" y="6119574"/>
          <a:ext cx="902448" cy="4165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 kern="1200"/>
            <a:t>Normalizer State</a:t>
          </a:r>
        </a:p>
      </xdr:txBody>
    </xdr:sp>
    <xdr:clientData/>
  </xdr:oneCellAnchor>
  <xdr:oneCellAnchor>
    <xdr:from>
      <xdr:col>22</xdr:col>
      <xdr:colOff>29612</xdr:colOff>
      <xdr:row>11</xdr:row>
      <xdr:rowOff>1218</xdr:rowOff>
    </xdr:from>
    <xdr:ext cx="31912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854446E7-21EF-A44F-B23E-6DC063418682}"/>
                </a:ext>
              </a:extLst>
            </xdr:cNvPr>
            <xdr:cNvSpPr txBox="1"/>
          </xdr:nvSpPr>
          <xdr:spPr>
            <a:xfrm>
              <a:off x="7027312" y="1791918"/>
              <a:ext cx="3191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𝒏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854446E7-21EF-A44F-B23E-6DC063418682}"/>
                </a:ext>
              </a:extLst>
            </xdr:cNvPr>
            <xdr:cNvSpPr txBox="1"/>
          </xdr:nvSpPr>
          <xdr:spPr>
            <a:xfrm>
              <a:off x="7027312" y="1791918"/>
              <a:ext cx="3191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𝒏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_(𝑡−1)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76710</xdr:colOff>
      <xdr:row>15</xdr:row>
      <xdr:rowOff>0</xdr:rowOff>
    </xdr:from>
    <xdr:ext cx="14863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582A5ABE-38C4-D94C-AE4A-FF6A53720764}"/>
                </a:ext>
              </a:extLst>
            </xdr:cNvPr>
            <xdr:cNvSpPr txBox="1"/>
          </xdr:nvSpPr>
          <xdr:spPr>
            <a:xfrm>
              <a:off x="6996342" y="2885515"/>
              <a:ext cx="1486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582A5ABE-38C4-D94C-AE4A-FF6A53720764}"/>
                </a:ext>
              </a:extLst>
            </xdr:cNvPr>
            <xdr:cNvSpPr txBox="1"/>
          </xdr:nvSpPr>
          <xdr:spPr>
            <a:xfrm>
              <a:off x="6996342" y="2885515"/>
              <a:ext cx="1486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𝑓_𝑡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21</xdr:col>
      <xdr:colOff>304139</xdr:colOff>
      <xdr:row>10</xdr:row>
      <xdr:rowOff>144825</xdr:rowOff>
    </xdr:from>
    <xdr:to>
      <xdr:col>23</xdr:col>
      <xdr:colOff>49679</xdr:colOff>
      <xdr:row>17</xdr:row>
      <xdr:rowOff>40341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1AC8588C-5522-3446-A602-198257D5B6C4}"/>
            </a:ext>
          </a:extLst>
        </xdr:cNvPr>
        <xdr:cNvSpPr/>
      </xdr:nvSpPr>
      <xdr:spPr>
        <a:xfrm>
          <a:off x="8024402" y="6494825"/>
          <a:ext cx="480803" cy="1599990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22</xdr:col>
      <xdr:colOff>98021</xdr:colOff>
      <xdr:row>32</xdr:row>
      <xdr:rowOff>13600</xdr:rowOff>
    </xdr:from>
    <xdr:ext cx="1377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314800A7-51D2-5A43-A314-4B171486EBCF}"/>
                </a:ext>
              </a:extLst>
            </xdr:cNvPr>
            <xdr:cNvSpPr txBox="1"/>
          </xdr:nvSpPr>
          <xdr:spPr>
            <a:xfrm>
              <a:off x="7487112" y="6184645"/>
              <a:ext cx="1377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314800A7-51D2-5A43-A314-4B171486EBCF}"/>
                </a:ext>
              </a:extLst>
            </xdr:cNvPr>
            <xdr:cNvSpPr txBox="1"/>
          </xdr:nvSpPr>
          <xdr:spPr>
            <a:xfrm>
              <a:off x="7487112" y="6184645"/>
              <a:ext cx="1377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𝑖_𝑡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21</xdr:col>
      <xdr:colOff>319224</xdr:colOff>
      <xdr:row>23</xdr:row>
      <xdr:rowOff>179202</xdr:rowOff>
    </xdr:from>
    <xdr:to>
      <xdr:col>23</xdr:col>
      <xdr:colOff>47063</xdr:colOff>
      <xdr:row>34</xdr:row>
      <xdr:rowOff>60971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B6D156D6-688A-DB4F-9B34-F3AF41C30257}"/>
            </a:ext>
          </a:extLst>
        </xdr:cNvPr>
        <xdr:cNvSpPr/>
      </xdr:nvSpPr>
      <xdr:spPr>
        <a:xfrm>
          <a:off x="8009347" y="8928957"/>
          <a:ext cx="460231" cy="1938701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22</xdr:col>
      <xdr:colOff>103855</xdr:colOff>
      <xdr:row>35</xdr:row>
      <xdr:rowOff>1049</xdr:rowOff>
    </xdr:from>
    <xdr:ext cx="18434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D1BB1B5D-57F3-F841-BBA5-B18B28BE3EC5}"/>
                </a:ext>
              </a:extLst>
            </xdr:cNvPr>
            <xdr:cNvSpPr txBox="1"/>
          </xdr:nvSpPr>
          <xdr:spPr>
            <a:xfrm>
              <a:off x="7492946" y="7886594"/>
              <a:ext cx="18434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𝒏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D1BB1B5D-57F3-F841-BBA5-B18B28BE3EC5}"/>
                </a:ext>
              </a:extLst>
            </xdr:cNvPr>
            <xdr:cNvSpPr txBox="1"/>
          </xdr:nvSpPr>
          <xdr:spPr>
            <a:xfrm>
              <a:off x="7492946" y="7886594"/>
              <a:ext cx="18434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𝒏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twoCellAnchor editAs="oneCell">
    <xdr:from>
      <xdr:col>12</xdr:col>
      <xdr:colOff>265551</xdr:colOff>
      <xdr:row>1</xdr:row>
      <xdr:rowOff>220003</xdr:rowOff>
    </xdr:from>
    <xdr:to>
      <xdr:col>33</xdr:col>
      <xdr:colOff>277879</xdr:colOff>
      <xdr:row>1</xdr:row>
      <xdr:rowOff>3767542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6AD8E3D-2F7E-E146-8306-28E774FAC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2298" y="480123"/>
          <a:ext cx="7724135" cy="354753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9</xdr:col>
      <xdr:colOff>23091</xdr:colOff>
      <xdr:row>28</xdr:row>
      <xdr:rowOff>0</xdr:rowOff>
    </xdr:from>
    <xdr:ext cx="24455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9F35F82D-EBFC-C847-BE82-63BE88D89885}"/>
                </a:ext>
              </a:extLst>
            </xdr:cNvPr>
            <xdr:cNvSpPr txBox="1"/>
          </xdr:nvSpPr>
          <xdr:spPr>
            <a:xfrm>
              <a:off x="3348182" y="5207000"/>
              <a:ext cx="24455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9F35F82D-EBFC-C847-BE82-63BE88D89885}"/>
                </a:ext>
              </a:extLst>
            </xdr:cNvPr>
            <xdr:cNvSpPr txBox="1"/>
          </xdr:nvSpPr>
          <xdr:spPr>
            <a:xfrm>
              <a:off x="3348182" y="5207000"/>
              <a:ext cx="24455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𝑾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_𝑣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15</xdr:col>
      <xdr:colOff>86591</xdr:colOff>
      <xdr:row>28</xdr:row>
      <xdr:rowOff>0</xdr:rowOff>
    </xdr:from>
    <xdr:ext cx="17774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85336397-30F2-F54B-B2F1-8B356AF469A9}"/>
                </a:ext>
              </a:extLst>
            </xdr:cNvPr>
            <xdr:cNvSpPr txBox="1"/>
          </xdr:nvSpPr>
          <xdr:spPr>
            <a:xfrm>
              <a:off x="5628409" y="5022272"/>
              <a:ext cx="17774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𝒗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85336397-30F2-F54B-B2F1-8B356AF469A9}"/>
                </a:ext>
              </a:extLst>
            </xdr:cNvPr>
            <xdr:cNvSpPr txBox="1"/>
          </xdr:nvSpPr>
          <xdr:spPr>
            <a:xfrm>
              <a:off x="5628409" y="5022272"/>
              <a:ext cx="17774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𝒗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69273</xdr:colOff>
      <xdr:row>28</xdr:row>
      <xdr:rowOff>0</xdr:rowOff>
    </xdr:from>
    <xdr:ext cx="19146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9D1F74C1-8CA6-C144-90FE-AD91EAFEFE90}"/>
                </a:ext>
              </a:extLst>
            </xdr:cNvPr>
            <xdr:cNvSpPr txBox="1"/>
          </xdr:nvSpPr>
          <xdr:spPr>
            <a:xfrm>
              <a:off x="4502728" y="5028045"/>
              <a:ext cx="191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𝒃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9D1F74C1-8CA6-C144-90FE-AD91EAFEFE90}"/>
                </a:ext>
              </a:extLst>
            </xdr:cNvPr>
            <xdr:cNvSpPr txBox="1"/>
          </xdr:nvSpPr>
          <xdr:spPr>
            <a:xfrm>
              <a:off x="4502728" y="5028045"/>
              <a:ext cx="19146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𝒃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_𝑣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9754</xdr:colOff>
      <xdr:row>27</xdr:row>
      <xdr:rowOff>83735</xdr:rowOff>
    </xdr:from>
    <xdr:ext cx="217610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0E2DE83A-F62C-A840-AE84-7872698A613E}"/>
                </a:ext>
              </a:extLst>
            </xdr:cNvPr>
            <xdr:cNvSpPr txBox="1"/>
          </xdr:nvSpPr>
          <xdr:spPr>
            <a:xfrm>
              <a:off x="1111441" y="9478675"/>
              <a:ext cx="217610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(24) Value Input:  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sSub>
                        <m:sSubPr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𝒗</m:t>
                          </m:r>
                        </m:e>
                        <m:sub>
                          <m: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𝑡</m:t>
                          </m:r>
                        </m:sub>
                      </m:s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𝑾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𝑣</m:t>
                      </m:r>
                    </m:sub>
                  </m:sSub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𝒙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𝒗</m:t>
                      </m:r>
                    </m:sub>
                  </m:sSub>
                  <m:r>
                    <a:rPr lang="en-US" sz="1100" b="0" i="0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 </m:t>
                  </m:r>
                </m:oMath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0E2DE83A-F62C-A840-AE84-7872698A613E}"/>
                </a:ext>
              </a:extLst>
            </xdr:cNvPr>
            <xdr:cNvSpPr txBox="1"/>
          </xdr:nvSpPr>
          <xdr:spPr>
            <a:xfrm>
              <a:off x="1111441" y="9478675"/>
              <a:ext cx="217610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(24) Value Input:   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𝒗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_𝑡=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𝑾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〗_𝑣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𝒙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_𝑡+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𝒃_𝒗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  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75821</xdr:colOff>
      <xdr:row>32</xdr:row>
      <xdr:rowOff>0</xdr:rowOff>
    </xdr:from>
    <xdr:ext cx="15619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1EA0165-E424-2146-BFB1-0884DB1ED0FE}"/>
                </a:ext>
              </a:extLst>
            </xdr:cNvPr>
            <xdr:cNvSpPr txBox="1"/>
          </xdr:nvSpPr>
          <xdr:spPr>
            <a:xfrm>
              <a:off x="4509276" y="6361545"/>
              <a:ext cx="15619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1EA0165-E424-2146-BFB1-0884DB1ED0FE}"/>
                </a:ext>
              </a:extLst>
            </xdr:cNvPr>
            <xdr:cNvSpPr txBox="1"/>
          </xdr:nvSpPr>
          <xdr:spPr>
            <a:xfrm>
              <a:off x="4509276" y="6361545"/>
              <a:ext cx="15619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𝑏_𝑖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73909</xdr:colOff>
      <xdr:row>32</xdr:row>
      <xdr:rowOff>0</xdr:rowOff>
    </xdr:from>
    <xdr:ext cx="19582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197BA835-740D-6045-B33A-63058E2D6C50}"/>
                </a:ext>
              </a:extLst>
            </xdr:cNvPr>
            <xdr:cNvSpPr txBox="1"/>
          </xdr:nvSpPr>
          <xdr:spPr>
            <a:xfrm>
              <a:off x="3399000" y="6349724"/>
              <a:ext cx="19582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197BA835-740D-6045-B33A-63058E2D6C50}"/>
                </a:ext>
              </a:extLst>
            </xdr:cNvPr>
            <xdr:cNvSpPr txBox="1"/>
          </xdr:nvSpPr>
          <xdr:spPr>
            <a:xfrm>
              <a:off x="3399000" y="6349724"/>
              <a:ext cx="19582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𝒘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_𝑖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15</xdr:col>
      <xdr:colOff>80972</xdr:colOff>
      <xdr:row>32</xdr:row>
      <xdr:rowOff>0</xdr:rowOff>
    </xdr:from>
    <xdr:ext cx="13779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06DB023C-1D16-894E-9956-A1C2E9ABF32B}"/>
                </a:ext>
              </a:extLst>
            </xdr:cNvPr>
            <xdr:cNvSpPr txBox="1"/>
          </xdr:nvSpPr>
          <xdr:spPr>
            <a:xfrm>
              <a:off x="5622790" y="6171045"/>
              <a:ext cx="13779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̃"/>
                            <m:ctrlPr>
                              <a:rPr lang="en-US" sz="1100" b="0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06DB023C-1D16-894E-9956-A1C2E9ABF32B}"/>
                </a:ext>
              </a:extLst>
            </xdr:cNvPr>
            <xdr:cNvSpPr txBox="1"/>
          </xdr:nvSpPr>
          <xdr:spPr>
            <a:xfrm>
              <a:off x="5622790" y="6171045"/>
              <a:ext cx="13779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𝑖 ̃_𝑡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16</xdr:col>
      <xdr:colOff>288636</xdr:colOff>
      <xdr:row>28</xdr:row>
      <xdr:rowOff>0</xdr:rowOff>
    </xdr:from>
    <xdr:ext cx="525318" cy="225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D461E9F-C45D-3148-87B6-4BA91949C138}"/>
                </a:ext>
              </a:extLst>
            </xdr:cNvPr>
            <xdr:cNvSpPr txBox="1"/>
          </xdr:nvSpPr>
          <xdr:spPr>
            <a:xfrm>
              <a:off x="6199909" y="5022273"/>
              <a:ext cx="525318" cy="225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𝒗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sSubSup>
                      <m:sSubSup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𝒌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  <a:p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D461E9F-C45D-3148-87B6-4BA91949C138}"/>
                </a:ext>
              </a:extLst>
            </xdr:cNvPr>
            <xdr:cNvSpPr txBox="1"/>
          </xdr:nvSpPr>
          <xdr:spPr>
            <a:xfrm>
              <a:off x="6199909" y="5022273"/>
              <a:ext cx="525318" cy="225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𝒗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𝒌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_𝑡^𝑇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  <a:p>
              <a:pPr/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23091</xdr:colOff>
      <xdr:row>19</xdr:row>
      <xdr:rowOff>178955</xdr:rowOff>
    </xdr:from>
    <xdr:ext cx="248401" cy="1822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58AA293-A85F-A74A-8790-38ED10BA020C}"/>
                </a:ext>
              </a:extLst>
            </xdr:cNvPr>
            <xdr:cNvSpPr txBox="1"/>
          </xdr:nvSpPr>
          <xdr:spPr>
            <a:xfrm>
              <a:off x="3348182" y="7874000"/>
              <a:ext cx="248401" cy="182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𝑞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58AA293-A85F-A74A-8790-38ED10BA020C}"/>
                </a:ext>
              </a:extLst>
            </xdr:cNvPr>
            <xdr:cNvSpPr txBox="1"/>
          </xdr:nvSpPr>
          <xdr:spPr>
            <a:xfrm>
              <a:off x="3348182" y="7874000"/>
              <a:ext cx="248401" cy="182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𝑾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_𝑞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15</xdr:col>
      <xdr:colOff>80818</xdr:colOff>
      <xdr:row>19</xdr:row>
      <xdr:rowOff>184727</xdr:rowOff>
    </xdr:from>
    <xdr:ext cx="17838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A42F2B23-8417-C345-AF15-D5DE6CD23C7C}"/>
                </a:ext>
              </a:extLst>
            </xdr:cNvPr>
            <xdr:cNvSpPr txBox="1"/>
          </xdr:nvSpPr>
          <xdr:spPr>
            <a:xfrm>
              <a:off x="5622636" y="7879772"/>
              <a:ext cx="17838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A42F2B23-8417-C345-AF15-D5DE6CD23C7C}"/>
                </a:ext>
              </a:extLst>
            </xdr:cNvPr>
            <xdr:cNvSpPr txBox="1"/>
          </xdr:nvSpPr>
          <xdr:spPr>
            <a:xfrm>
              <a:off x="5622636" y="7879772"/>
              <a:ext cx="17838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𝒒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69273</xdr:colOff>
      <xdr:row>19</xdr:row>
      <xdr:rowOff>190500</xdr:rowOff>
    </xdr:from>
    <xdr:ext cx="195310" cy="1822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3C65E522-2DF3-324D-8DB0-CC17049D5351}"/>
                </a:ext>
              </a:extLst>
            </xdr:cNvPr>
            <xdr:cNvSpPr txBox="1"/>
          </xdr:nvSpPr>
          <xdr:spPr>
            <a:xfrm>
              <a:off x="4502728" y="7885545"/>
              <a:ext cx="195310" cy="182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𝒃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𝑞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3C65E522-2DF3-324D-8DB0-CC17049D5351}"/>
                </a:ext>
              </a:extLst>
            </xdr:cNvPr>
            <xdr:cNvSpPr txBox="1"/>
          </xdr:nvSpPr>
          <xdr:spPr>
            <a:xfrm>
              <a:off x="4502728" y="7885545"/>
              <a:ext cx="195310" cy="182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𝒃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_𝑞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9754</xdr:colOff>
      <xdr:row>18</xdr:row>
      <xdr:rowOff>134101</xdr:rowOff>
    </xdr:from>
    <xdr:ext cx="2201949" cy="1822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3F83C30-6BB4-2E4D-B846-2096D5F3F848}"/>
                </a:ext>
              </a:extLst>
            </xdr:cNvPr>
            <xdr:cNvSpPr txBox="1"/>
          </xdr:nvSpPr>
          <xdr:spPr>
            <a:xfrm>
              <a:off x="1111441" y="7876511"/>
              <a:ext cx="2201949" cy="182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(22) Query Input:  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sSub>
                        <m:sSubPr>
                          <m:ctrlP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𝒒</m:t>
                          </m:r>
                        </m:e>
                        <m:sub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𝒕</m:t>
                          </m:r>
                        </m:sub>
                      </m:s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𝑾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𝑞</m:t>
                      </m:r>
                    </m:sub>
                  </m:sSub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𝒙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𝑞</m:t>
                      </m:r>
                    </m:sub>
                  </m:sSub>
                  <m:r>
                    <a:rPr lang="en-US" sz="1100" b="0" i="0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 </m:t>
                  </m:r>
                </m:oMath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3F83C30-6BB4-2E4D-B846-2096D5F3F848}"/>
                </a:ext>
              </a:extLst>
            </xdr:cNvPr>
            <xdr:cNvSpPr txBox="1"/>
          </xdr:nvSpPr>
          <xdr:spPr>
            <a:xfrm>
              <a:off x="1111441" y="7876511"/>
              <a:ext cx="2201949" cy="1822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(22) Query Input:   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𝒒_𝒕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=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𝑾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〗_𝑞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𝒙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_𝑡+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𝒃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_𝑞  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80818</xdr:colOff>
      <xdr:row>20</xdr:row>
      <xdr:rowOff>0</xdr:rowOff>
    </xdr:from>
    <xdr:ext cx="17838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11D59BC-6CD7-7640-9F04-AC8CD1EB6D90}"/>
                </a:ext>
              </a:extLst>
            </xdr:cNvPr>
            <xdr:cNvSpPr txBox="1"/>
          </xdr:nvSpPr>
          <xdr:spPr>
            <a:xfrm>
              <a:off x="7337961" y="11109011"/>
              <a:ext cx="17838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11D59BC-6CD7-7640-9F04-AC8CD1EB6D90}"/>
                </a:ext>
              </a:extLst>
            </xdr:cNvPr>
            <xdr:cNvSpPr txBox="1"/>
          </xdr:nvSpPr>
          <xdr:spPr>
            <a:xfrm>
              <a:off x="7337961" y="11109011"/>
              <a:ext cx="17838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𝒒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20</xdr:col>
      <xdr:colOff>31275</xdr:colOff>
      <xdr:row>34</xdr:row>
      <xdr:rowOff>162588</xdr:rowOff>
    </xdr:from>
    <xdr:ext cx="32399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DDD5976-80D7-5942-80E8-255764E855F4}"/>
                </a:ext>
              </a:extLst>
            </xdr:cNvPr>
            <xdr:cNvSpPr txBox="1"/>
          </xdr:nvSpPr>
          <xdr:spPr>
            <a:xfrm>
              <a:off x="7288418" y="11662368"/>
              <a:ext cx="3239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𝑪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DDD5976-80D7-5942-80E8-255764E855F4}"/>
                </a:ext>
              </a:extLst>
            </xdr:cNvPr>
            <xdr:cNvSpPr txBox="1"/>
          </xdr:nvSpPr>
          <xdr:spPr>
            <a:xfrm>
              <a:off x="7288418" y="11662368"/>
              <a:ext cx="3239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𝑪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𝒒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16</xdr:col>
      <xdr:colOff>311991</xdr:colOff>
      <xdr:row>39</xdr:row>
      <xdr:rowOff>16949</xdr:rowOff>
    </xdr:from>
    <xdr:ext cx="1050159" cy="1706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C6170B8A-73B7-464B-A339-3A2B30AEB70E}"/>
                </a:ext>
              </a:extLst>
            </xdr:cNvPr>
            <xdr:cNvSpPr txBox="1"/>
          </xdr:nvSpPr>
          <xdr:spPr>
            <a:xfrm>
              <a:off x="6151071" y="8636892"/>
              <a:ext cx="1050159" cy="170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solidFill>
                          <a:schemeClr val="accent2">
                            <a:lumMod val="75000"/>
                          </a:schemeClr>
                        </a:solidFill>
                        <a:latin typeface="Cambria Math" panose="02040503050406030204" pitchFamily="18" charset="0"/>
                      </a:rPr>
                      <m:t>max</m:t>
                    </m:r>
                    <m:r>
                      <a:rPr lang="en-US" sz="1100" b="0" i="1">
                        <a:solidFill>
                          <a:schemeClr val="accent2">
                            <a:lumMod val="75000"/>
                          </a:schemeClr>
                        </a:solidFill>
                        <a:latin typeface="Cambria Math" panose="02040503050406030204" pitchFamily="18" charset="0"/>
                      </a:rPr>
                      <m:t>⁡({|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𝒏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sSubSup>
                      <m:sSubSup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bSup>
                    <m:r>
                      <a:rPr lang="en-US" sz="1100" b="0" i="1">
                        <a:solidFill>
                          <a:schemeClr val="accent2">
                            <a:lumMod val="75000"/>
                          </a:schemeClr>
                        </a:solidFill>
                        <a:latin typeface="Cambria Math" panose="02040503050406030204" pitchFamily="18" charset="0"/>
                      </a:rPr>
                      <m:t>|,1}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accent2">
                            <a:lumMod val="75000"/>
                          </a:schemeClr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C6170B8A-73B7-464B-A339-3A2B30AEB70E}"/>
                </a:ext>
              </a:extLst>
            </xdr:cNvPr>
            <xdr:cNvSpPr txBox="1"/>
          </xdr:nvSpPr>
          <xdr:spPr>
            <a:xfrm>
              <a:off x="6151071" y="8636892"/>
              <a:ext cx="1050159" cy="170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max⁡({|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𝒏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𝒒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_𝑡^𝑇 |,1}")"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19</xdr:col>
      <xdr:colOff>324665</xdr:colOff>
      <xdr:row>35</xdr:row>
      <xdr:rowOff>167341</xdr:rowOff>
    </xdr:from>
    <xdr:to>
      <xdr:col>21</xdr:col>
      <xdr:colOff>52504</xdr:colOff>
      <xdr:row>40</xdr:row>
      <xdr:rowOff>51091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8D5BB921-A4DC-8744-851E-5AE17CDA8642}"/>
            </a:ext>
          </a:extLst>
        </xdr:cNvPr>
        <xdr:cNvSpPr/>
      </xdr:nvSpPr>
      <xdr:spPr>
        <a:xfrm>
          <a:off x="7258573" y="8028203"/>
          <a:ext cx="457724" cy="832601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5</xdr:col>
      <xdr:colOff>40031</xdr:colOff>
      <xdr:row>24</xdr:row>
      <xdr:rowOff>482</xdr:rowOff>
    </xdr:from>
    <xdr:ext cx="24904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D64F0C7E-7F5A-7B4D-8F16-8FD01CC38FC0}"/>
                </a:ext>
              </a:extLst>
            </xdr:cNvPr>
            <xdr:cNvSpPr txBox="1"/>
          </xdr:nvSpPr>
          <xdr:spPr>
            <a:xfrm>
              <a:off x="3324514" y="4825022"/>
              <a:ext cx="24904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D64F0C7E-7F5A-7B4D-8F16-8FD01CC38FC0}"/>
                </a:ext>
              </a:extLst>
            </xdr:cNvPr>
            <xdr:cNvSpPr txBox="1"/>
          </xdr:nvSpPr>
          <xdr:spPr>
            <a:xfrm>
              <a:off x="3324514" y="4825022"/>
              <a:ext cx="24904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𝑾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_𝑘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36013</xdr:colOff>
      <xdr:row>23</xdr:row>
      <xdr:rowOff>122156</xdr:rowOff>
    </xdr:from>
    <xdr:ext cx="449482" cy="2520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8AF8F25E-C0D9-CF49-B84A-B16BADB70D46}"/>
                </a:ext>
              </a:extLst>
            </xdr:cNvPr>
            <xdr:cNvSpPr txBox="1"/>
          </xdr:nvSpPr>
          <xdr:spPr>
            <a:xfrm>
              <a:off x="3301727" y="9472705"/>
              <a:ext cx="449482" cy="2520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f>
                        <m:fPr>
                          <m:ctrlP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𝟏</m:t>
                          </m:r>
                        </m:num>
                        <m:den>
                          <m:rad>
                            <m:radPr>
                              <m:degHide m:val="on"/>
                              <m:ctrlPr>
                                <a:rPr lang="en-US" sz="1100" b="1" i="1">
                                  <a:solidFill>
                                    <a:schemeClr val="accent2">
                                      <a:lumMod val="75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radPr>
                            <m:deg/>
                            <m:e>
                              <m:r>
                                <a:rPr lang="en-US" sz="1100" b="1" i="1">
                                  <a:solidFill>
                                    <a:schemeClr val="accent2">
                                      <a:lumMod val="75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  <m:t>𝒅</m:t>
                              </m:r>
                            </m:e>
                          </m:rad>
                        </m:den>
                      </m:f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𝑾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𝐾</m:t>
                      </m:r>
                    </m:sub>
                  </m:sSub>
                  <m:r>
                    <a:rPr lang="en-US" sz="1100" b="0" i="0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 </m:t>
                  </m:r>
                </m:oMath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8AF8F25E-C0D9-CF49-B84A-B16BADB70D46}"/>
                </a:ext>
              </a:extLst>
            </xdr:cNvPr>
            <xdr:cNvSpPr txBox="1"/>
          </xdr:nvSpPr>
          <xdr:spPr>
            <a:xfrm>
              <a:off x="3301727" y="9472705"/>
              <a:ext cx="449482" cy="2520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</a:rPr>
                <a:t> 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𝟏/√𝒅 𝑾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〗_𝐾  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57733</xdr:colOff>
      <xdr:row>11</xdr:row>
      <xdr:rowOff>89122</xdr:rowOff>
    </xdr:from>
    <xdr:ext cx="924650" cy="254429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6E17A47-C3E8-F744-80C0-B28EE2067CAA}"/>
            </a:ext>
          </a:extLst>
        </xdr:cNvPr>
        <xdr:cNvSpPr txBox="1"/>
      </xdr:nvSpPr>
      <xdr:spPr>
        <a:xfrm>
          <a:off x="1174457" y="6723777"/>
          <a:ext cx="924650" cy="254429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sz="1100" kern="1200"/>
            <a:t>Parameters</a:t>
          </a:r>
        </a:p>
      </xdr:txBody>
    </xdr:sp>
    <xdr:clientData/>
  </xdr:oneCellAnchor>
  <xdr:oneCellAnchor>
    <xdr:from>
      <xdr:col>15</xdr:col>
      <xdr:colOff>203136</xdr:colOff>
      <xdr:row>27</xdr:row>
      <xdr:rowOff>4310</xdr:rowOff>
    </xdr:from>
    <xdr:ext cx="725393" cy="254429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E5D9AE4-4716-9B47-91C1-145E6941BCB1}"/>
            </a:ext>
          </a:extLst>
        </xdr:cNvPr>
        <xdr:cNvSpPr txBox="1"/>
      </xdr:nvSpPr>
      <xdr:spPr>
        <a:xfrm>
          <a:off x="5645993" y="9745629"/>
          <a:ext cx="725393" cy="2544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 kern="1200"/>
            <a:t>store</a:t>
          </a:r>
        </a:p>
      </xdr:txBody>
    </xdr:sp>
    <xdr:clientData/>
  </xdr:oneCellAnchor>
  <xdr:oneCellAnchor>
    <xdr:from>
      <xdr:col>18</xdr:col>
      <xdr:colOff>132239</xdr:colOff>
      <xdr:row>34</xdr:row>
      <xdr:rowOff>31105</xdr:rowOff>
    </xdr:from>
    <xdr:ext cx="725393" cy="254429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D9ACBF04-8FF5-FC4D-B67E-D3EC94B872B8}"/>
            </a:ext>
          </a:extLst>
        </xdr:cNvPr>
        <xdr:cNvSpPr txBox="1"/>
      </xdr:nvSpPr>
      <xdr:spPr>
        <a:xfrm>
          <a:off x="6663668" y="11140116"/>
          <a:ext cx="725393" cy="2544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 kern="1200"/>
            <a:t>retrieve</a:t>
          </a:r>
        </a:p>
      </xdr:txBody>
    </xdr:sp>
    <xdr:clientData/>
  </xdr:oneCellAnchor>
  <xdr:twoCellAnchor>
    <xdr:from>
      <xdr:col>14</xdr:col>
      <xdr:colOff>167472</xdr:colOff>
      <xdr:row>10</xdr:row>
      <xdr:rowOff>97693</xdr:rowOff>
    </xdr:from>
    <xdr:to>
      <xdr:col>23</xdr:col>
      <xdr:colOff>293077</xdr:colOff>
      <xdr:row>52</xdr:row>
      <xdr:rowOff>97692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97C0BC-B4D6-3041-B4B5-C8C5F49A255C}"/>
            </a:ext>
          </a:extLst>
        </xdr:cNvPr>
        <xdr:cNvSpPr/>
      </xdr:nvSpPr>
      <xdr:spPr>
        <a:xfrm>
          <a:off x="5247472" y="6517473"/>
          <a:ext cx="3391319" cy="1032747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>
              <a:solidFill>
                <a:schemeClr val="tx1"/>
              </a:solidFill>
            </a:rPr>
            <a:t>mLSTM</a:t>
          </a:r>
        </a:p>
      </xdr:txBody>
    </xdr:sp>
    <xdr:clientData/>
  </xdr:twoCellAnchor>
  <xdr:oneCellAnchor>
    <xdr:from>
      <xdr:col>17</xdr:col>
      <xdr:colOff>86591</xdr:colOff>
      <xdr:row>24</xdr:row>
      <xdr:rowOff>190500</xdr:rowOff>
    </xdr:from>
    <xdr:ext cx="197618" cy="170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2FE129BF-0E7B-494A-B53F-4A7F9557E429}"/>
                </a:ext>
              </a:extLst>
            </xdr:cNvPr>
            <xdr:cNvSpPr txBox="1"/>
          </xdr:nvSpPr>
          <xdr:spPr>
            <a:xfrm>
              <a:off x="6255162" y="9736434"/>
              <a:ext cx="197618" cy="170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𝒌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2FE129BF-0E7B-494A-B53F-4A7F9557E429}"/>
                </a:ext>
              </a:extLst>
            </xdr:cNvPr>
            <xdr:cNvSpPr txBox="1"/>
          </xdr:nvSpPr>
          <xdr:spPr>
            <a:xfrm>
              <a:off x="6255162" y="9736434"/>
              <a:ext cx="197618" cy="170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𝒌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_𝑡^𝑇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26</xdr:col>
      <xdr:colOff>323272</xdr:colOff>
      <xdr:row>28</xdr:row>
      <xdr:rowOff>161637</xdr:rowOff>
    </xdr:from>
    <xdr:to>
      <xdr:col>29</xdr:col>
      <xdr:colOff>46182</xdr:colOff>
      <xdr:row>34</xdr:row>
      <xdr:rowOff>55824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0D11B3C-EB2C-0548-A8E2-6B02A35B09E0}"/>
            </a:ext>
          </a:extLst>
        </xdr:cNvPr>
        <xdr:cNvSpPr/>
      </xdr:nvSpPr>
      <xdr:spPr>
        <a:xfrm>
          <a:off x="6128986" y="10098340"/>
          <a:ext cx="811482" cy="1066495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29</xdr:col>
      <xdr:colOff>323070</xdr:colOff>
      <xdr:row>41</xdr:row>
      <xdr:rowOff>0</xdr:rowOff>
    </xdr:from>
    <xdr:to>
      <xdr:col>31</xdr:col>
      <xdr:colOff>55703</xdr:colOff>
      <xdr:row>48</xdr:row>
      <xdr:rowOff>77447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FB4AB9C3-7F89-394B-A295-2018036F3DD0}"/>
            </a:ext>
          </a:extLst>
        </xdr:cNvPr>
        <xdr:cNvSpPr/>
      </xdr:nvSpPr>
      <xdr:spPr>
        <a:xfrm>
          <a:off x="7217356" y="12476703"/>
          <a:ext cx="458347" cy="1445140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31</xdr:col>
      <xdr:colOff>0</xdr:colOff>
      <xdr:row>21</xdr:row>
      <xdr:rowOff>34925</xdr:rowOff>
    </xdr:from>
    <xdr:ext cx="65" cy="162224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12BFFF04-8A6D-5B41-AFDF-58535D9E5BD9}"/>
            </a:ext>
          </a:extLst>
        </xdr:cNvPr>
        <xdr:cNvSpPr txBox="1"/>
      </xdr:nvSpPr>
      <xdr:spPr>
        <a:xfrm>
          <a:off x="7620000" y="8603936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25</xdr:col>
      <xdr:colOff>109681</xdr:colOff>
      <xdr:row>3</xdr:row>
      <xdr:rowOff>187819</xdr:rowOff>
    </xdr:from>
    <xdr:ext cx="18472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BECE06C2-8142-494B-8967-360432DBF7B4}"/>
                </a:ext>
              </a:extLst>
            </xdr:cNvPr>
            <xdr:cNvSpPr txBox="1"/>
          </xdr:nvSpPr>
          <xdr:spPr>
            <a:xfrm>
              <a:off x="5552538" y="5435292"/>
              <a:ext cx="1847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BECE06C2-8142-494B-8967-360432DBF7B4}"/>
                </a:ext>
              </a:extLst>
            </xdr:cNvPr>
            <xdr:cNvSpPr txBox="1"/>
          </xdr:nvSpPr>
          <xdr:spPr>
            <a:xfrm>
              <a:off x="5552538" y="5435292"/>
              <a:ext cx="18472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𝒙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25</xdr:col>
      <xdr:colOff>94108</xdr:colOff>
      <xdr:row>24</xdr:row>
      <xdr:rowOff>4261</xdr:rowOff>
    </xdr:from>
    <xdr:ext cx="17940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2AAF24E9-2C06-6C4F-BA4F-9C396434DDA5}"/>
                </a:ext>
              </a:extLst>
            </xdr:cNvPr>
            <xdr:cNvSpPr txBox="1"/>
          </xdr:nvSpPr>
          <xdr:spPr>
            <a:xfrm>
              <a:off x="5536965" y="9159426"/>
              <a:ext cx="1794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𝒌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2AAF24E9-2C06-6C4F-BA4F-9C396434DDA5}"/>
                </a:ext>
              </a:extLst>
            </xdr:cNvPr>
            <xdr:cNvSpPr txBox="1"/>
          </xdr:nvSpPr>
          <xdr:spPr>
            <a:xfrm>
              <a:off x="5536965" y="9159426"/>
              <a:ext cx="1794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𝒌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76710</xdr:colOff>
      <xdr:row>15</xdr:row>
      <xdr:rowOff>0</xdr:rowOff>
    </xdr:from>
    <xdr:ext cx="14863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8334FCFE-230C-3D48-A32D-6D0705F31E13}"/>
                </a:ext>
              </a:extLst>
            </xdr:cNvPr>
            <xdr:cNvSpPr txBox="1"/>
          </xdr:nvSpPr>
          <xdr:spPr>
            <a:xfrm>
              <a:off x="6245281" y="7396703"/>
              <a:ext cx="1486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8334FCFE-230C-3D48-A32D-6D0705F31E13}"/>
                </a:ext>
              </a:extLst>
            </xdr:cNvPr>
            <xdr:cNvSpPr txBox="1"/>
          </xdr:nvSpPr>
          <xdr:spPr>
            <a:xfrm>
              <a:off x="6245281" y="7396703"/>
              <a:ext cx="1486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𝑓_𝑡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25</xdr:col>
      <xdr:colOff>80972</xdr:colOff>
      <xdr:row>15</xdr:row>
      <xdr:rowOff>0</xdr:rowOff>
    </xdr:from>
    <xdr:ext cx="148630" cy="176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392D9209-2776-864F-8CF4-DCE81213C6DA}"/>
                </a:ext>
              </a:extLst>
            </xdr:cNvPr>
            <xdr:cNvSpPr txBox="1"/>
          </xdr:nvSpPr>
          <xdr:spPr>
            <a:xfrm>
              <a:off x="5523829" y="7396703"/>
              <a:ext cx="148630" cy="176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̃"/>
                            <m:ctrlPr>
                              <a:rPr lang="en-US" sz="1100" b="0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392D9209-2776-864F-8CF4-DCE81213C6DA}"/>
                </a:ext>
              </a:extLst>
            </xdr:cNvPr>
            <xdr:cNvSpPr txBox="1"/>
          </xdr:nvSpPr>
          <xdr:spPr>
            <a:xfrm>
              <a:off x="5523829" y="7396703"/>
              <a:ext cx="148630" cy="176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𝑓 ̃_𝑡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29612</xdr:colOff>
      <xdr:row>10</xdr:row>
      <xdr:rowOff>187982</xdr:rowOff>
    </xdr:from>
    <xdr:ext cx="31604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CBC65565-07E3-864A-8889-AB53E7FFAF09}"/>
                </a:ext>
              </a:extLst>
            </xdr:cNvPr>
            <xdr:cNvSpPr txBox="1"/>
          </xdr:nvSpPr>
          <xdr:spPr>
            <a:xfrm>
              <a:off x="6198183" y="6607762"/>
              <a:ext cx="31604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𝑪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CBC65565-07E3-864A-8889-AB53E7FFAF09}"/>
                </a:ext>
              </a:extLst>
            </xdr:cNvPr>
            <xdr:cNvSpPr txBox="1"/>
          </xdr:nvSpPr>
          <xdr:spPr>
            <a:xfrm>
              <a:off x="6198183" y="6607762"/>
              <a:ext cx="31604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𝑪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_(𝑡−1)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98021</xdr:colOff>
      <xdr:row>32</xdr:row>
      <xdr:rowOff>4262</xdr:rowOff>
    </xdr:from>
    <xdr:ext cx="1377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85686F80-E7D0-AC4F-8582-F3C1585A420E}"/>
                </a:ext>
              </a:extLst>
            </xdr:cNvPr>
            <xdr:cNvSpPr txBox="1"/>
          </xdr:nvSpPr>
          <xdr:spPr>
            <a:xfrm>
              <a:off x="6266592" y="10722504"/>
              <a:ext cx="1377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85686F80-E7D0-AC4F-8582-F3C1585A420E}"/>
                </a:ext>
              </a:extLst>
            </xdr:cNvPr>
            <xdr:cNvSpPr txBox="1"/>
          </xdr:nvSpPr>
          <xdr:spPr>
            <a:xfrm>
              <a:off x="6266592" y="10722504"/>
              <a:ext cx="1377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𝑖_𝑡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30</xdr:col>
      <xdr:colOff>106543</xdr:colOff>
      <xdr:row>45</xdr:row>
      <xdr:rowOff>4262</xdr:rowOff>
    </xdr:from>
    <xdr:ext cx="17447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3160E946-0570-294E-8191-788691C68A95}"/>
                </a:ext>
              </a:extLst>
            </xdr:cNvPr>
            <xdr:cNvSpPr txBox="1"/>
          </xdr:nvSpPr>
          <xdr:spPr>
            <a:xfrm>
              <a:off x="7363686" y="13262504"/>
              <a:ext cx="17447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𝒐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3160E946-0570-294E-8191-788691C68A95}"/>
                </a:ext>
              </a:extLst>
            </xdr:cNvPr>
            <xdr:cNvSpPr txBox="1"/>
          </xdr:nvSpPr>
          <xdr:spPr>
            <a:xfrm>
              <a:off x="7363686" y="13262504"/>
              <a:ext cx="17447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𝒐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25</xdr:col>
      <xdr:colOff>106543</xdr:colOff>
      <xdr:row>45</xdr:row>
      <xdr:rowOff>4262</xdr:rowOff>
    </xdr:from>
    <xdr:ext cx="17447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BA17949F-601B-EB43-B108-B62EAF01E932}"/>
                </a:ext>
              </a:extLst>
            </xdr:cNvPr>
            <xdr:cNvSpPr txBox="1"/>
          </xdr:nvSpPr>
          <xdr:spPr>
            <a:xfrm>
              <a:off x="5549400" y="13262504"/>
              <a:ext cx="17447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̃"/>
                            <m:ctrlPr>
                              <a:rPr lang="en-US" sz="1100" b="0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𝒐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BA17949F-601B-EB43-B108-B62EAF01E932}"/>
                </a:ext>
              </a:extLst>
            </xdr:cNvPr>
            <xdr:cNvSpPr txBox="1"/>
          </xdr:nvSpPr>
          <xdr:spPr>
            <a:xfrm>
              <a:off x="5549400" y="13262504"/>
              <a:ext cx="17447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𝒐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 ̃_𝑡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30</xdr:col>
      <xdr:colOff>89496</xdr:colOff>
      <xdr:row>49</xdr:row>
      <xdr:rowOff>4262</xdr:rowOff>
    </xdr:from>
    <xdr:ext cx="18222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DB91B163-A39D-3545-B6DA-166E01F372E9}"/>
                </a:ext>
              </a:extLst>
            </xdr:cNvPr>
            <xdr:cNvSpPr txBox="1"/>
          </xdr:nvSpPr>
          <xdr:spPr>
            <a:xfrm>
              <a:off x="7346639" y="14044042"/>
              <a:ext cx="18222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𝒉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DB91B163-A39D-3545-B6DA-166E01F372E9}"/>
                </a:ext>
              </a:extLst>
            </xdr:cNvPr>
            <xdr:cNvSpPr txBox="1"/>
          </xdr:nvSpPr>
          <xdr:spPr>
            <a:xfrm>
              <a:off x="7346639" y="14044042"/>
              <a:ext cx="18222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𝒉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27</xdr:col>
      <xdr:colOff>103855</xdr:colOff>
      <xdr:row>35</xdr:row>
      <xdr:rowOff>1049</xdr:rowOff>
    </xdr:from>
    <xdr:ext cx="18158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07AD16FD-1224-0D46-9794-ACA6603E2923}"/>
                </a:ext>
              </a:extLst>
            </xdr:cNvPr>
            <xdr:cNvSpPr txBox="1"/>
          </xdr:nvSpPr>
          <xdr:spPr>
            <a:xfrm>
              <a:off x="6272426" y="11305445"/>
              <a:ext cx="18158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𝑪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07AD16FD-1224-0D46-9794-ACA6603E2923}"/>
                </a:ext>
              </a:extLst>
            </xdr:cNvPr>
            <xdr:cNvSpPr txBox="1"/>
          </xdr:nvSpPr>
          <xdr:spPr>
            <a:xfrm>
              <a:off x="6272426" y="11305445"/>
              <a:ext cx="18158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𝑪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30</xdr:col>
      <xdr:colOff>78155</xdr:colOff>
      <xdr:row>41</xdr:row>
      <xdr:rowOff>14655</xdr:rowOff>
    </xdr:from>
    <xdr:ext cx="182229" cy="1781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D5A15600-641F-B346-89EF-827AE8B430A2}"/>
                </a:ext>
              </a:extLst>
            </xdr:cNvPr>
            <xdr:cNvSpPr txBox="1"/>
          </xdr:nvSpPr>
          <xdr:spPr>
            <a:xfrm>
              <a:off x="7335298" y="12491358"/>
              <a:ext cx="182229" cy="1781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̃"/>
                            <m:ctrlPr>
                              <a:rPr lang="en-US" sz="1100" b="0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𝒉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D5A15600-641F-B346-89EF-827AE8B430A2}"/>
                </a:ext>
              </a:extLst>
            </xdr:cNvPr>
            <xdr:cNvSpPr txBox="1"/>
          </xdr:nvSpPr>
          <xdr:spPr>
            <a:xfrm>
              <a:off x="7335298" y="12491358"/>
              <a:ext cx="182229" cy="1781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𝒉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 ̃_𝑡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26</xdr:col>
      <xdr:colOff>319827</xdr:colOff>
      <xdr:row>10</xdr:row>
      <xdr:rowOff>144825</xdr:rowOff>
    </xdr:from>
    <xdr:to>
      <xdr:col>29</xdr:col>
      <xdr:colOff>40409</xdr:colOff>
      <xdr:row>17</xdr:row>
      <xdr:rowOff>46691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5C859909-30C5-8D42-9E48-717B4EBA639B}"/>
            </a:ext>
          </a:extLst>
        </xdr:cNvPr>
        <xdr:cNvSpPr/>
      </xdr:nvSpPr>
      <xdr:spPr>
        <a:xfrm>
          <a:off x="6125541" y="6564605"/>
          <a:ext cx="809154" cy="1269559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26</xdr:col>
      <xdr:colOff>315900</xdr:colOff>
      <xdr:row>8</xdr:row>
      <xdr:rowOff>117075</xdr:rowOff>
    </xdr:from>
    <xdr:ext cx="725393" cy="416524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B2BB5FEF-CC75-2B4F-9E59-EF520BE3EC0E}"/>
            </a:ext>
          </a:extLst>
        </xdr:cNvPr>
        <xdr:cNvSpPr txBox="1"/>
      </xdr:nvSpPr>
      <xdr:spPr>
        <a:xfrm>
          <a:off x="6121614" y="6146086"/>
          <a:ext cx="725393" cy="4165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 kern="1200"/>
            <a:t>Cell State</a:t>
          </a:r>
        </a:p>
      </xdr:txBody>
    </xdr:sp>
    <xdr:clientData/>
  </xdr:oneCellAnchor>
  <xdr:oneCellAnchor>
    <xdr:from>
      <xdr:col>31</xdr:col>
      <xdr:colOff>92708</xdr:colOff>
      <xdr:row>8</xdr:row>
      <xdr:rowOff>90563</xdr:rowOff>
    </xdr:from>
    <xdr:ext cx="902448" cy="416524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F0BC0AD8-3E86-E540-A91E-D77DBB7EEDDB}"/>
            </a:ext>
          </a:extLst>
        </xdr:cNvPr>
        <xdr:cNvSpPr txBox="1"/>
      </xdr:nvSpPr>
      <xdr:spPr>
        <a:xfrm>
          <a:off x="7712708" y="6119574"/>
          <a:ext cx="902448" cy="4165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 kern="1200"/>
            <a:t>Normalizer State</a:t>
          </a:r>
        </a:p>
      </xdr:txBody>
    </xdr:sp>
    <xdr:clientData/>
  </xdr:oneCellAnchor>
  <xdr:oneCellAnchor>
    <xdr:from>
      <xdr:col>32</xdr:col>
      <xdr:colOff>29612</xdr:colOff>
      <xdr:row>10</xdr:row>
      <xdr:rowOff>182647</xdr:rowOff>
    </xdr:from>
    <xdr:ext cx="31912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557440A9-7BB5-6346-9C8A-F92DFFF5BEC9}"/>
                </a:ext>
              </a:extLst>
            </xdr:cNvPr>
            <xdr:cNvSpPr txBox="1"/>
          </xdr:nvSpPr>
          <xdr:spPr>
            <a:xfrm>
              <a:off x="11641041" y="6602427"/>
              <a:ext cx="3191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𝒏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557440A9-7BB5-6346-9C8A-F92DFFF5BEC9}"/>
                </a:ext>
              </a:extLst>
            </xdr:cNvPr>
            <xdr:cNvSpPr txBox="1"/>
          </xdr:nvSpPr>
          <xdr:spPr>
            <a:xfrm>
              <a:off x="11641041" y="6602427"/>
              <a:ext cx="31912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𝒏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_(𝑡−1)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32</xdr:col>
      <xdr:colOff>76710</xdr:colOff>
      <xdr:row>15</xdr:row>
      <xdr:rowOff>0</xdr:rowOff>
    </xdr:from>
    <xdr:ext cx="148630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43792537-B27B-C44A-B128-EA9E35293D5F}"/>
                </a:ext>
              </a:extLst>
            </xdr:cNvPr>
            <xdr:cNvSpPr txBox="1"/>
          </xdr:nvSpPr>
          <xdr:spPr>
            <a:xfrm>
              <a:off x="8059567" y="7396703"/>
              <a:ext cx="1486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43792537-B27B-C44A-B128-EA9E35293D5F}"/>
                </a:ext>
              </a:extLst>
            </xdr:cNvPr>
            <xdr:cNvSpPr txBox="1"/>
          </xdr:nvSpPr>
          <xdr:spPr>
            <a:xfrm>
              <a:off x="8059567" y="7396703"/>
              <a:ext cx="148630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𝑓_𝑡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31</xdr:col>
      <xdr:colOff>304139</xdr:colOff>
      <xdr:row>10</xdr:row>
      <xdr:rowOff>144825</xdr:rowOff>
    </xdr:from>
    <xdr:to>
      <xdr:col>33</xdr:col>
      <xdr:colOff>49679</xdr:colOff>
      <xdr:row>17</xdr:row>
      <xdr:rowOff>40341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C7C32732-1B45-1B44-9DE1-C1AA8F1F7851}"/>
            </a:ext>
          </a:extLst>
        </xdr:cNvPr>
        <xdr:cNvSpPr/>
      </xdr:nvSpPr>
      <xdr:spPr>
        <a:xfrm>
          <a:off x="7924139" y="6564605"/>
          <a:ext cx="471254" cy="1263209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32</xdr:col>
      <xdr:colOff>98021</xdr:colOff>
      <xdr:row>32</xdr:row>
      <xdr:rowOff>13600</xdr:rowOff>
    </xdr:from>
    <xdr:ext cx="1377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CE67C5DA-67A3-604E-AFA7-7F6F94A09067}"/>
                </a:ext>
              </a:extLst>
            </xdr:cNvPr>
            <xdr:cNvSpPr txBox="1"/>
          </xdr:nvSpPr>
          <xdr:spPr>
            <a:xfrm>
              <a:off x="8080878" y="10731842"/>
              <a:ext cx="1377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CE67C5DA-67A3-604E-AFA7-7F6F94A09067}"/>
                </a:ext>
              </a:extLst>
            </xdr:cNvPr>
            <xdr:cNvSpPr txBox="1"/>
          </xdr:nvSpPr>
          <xdr:spPr>
            <a:xfrm>
              <a:off x="8080878" y="10731842"/>
              <a:ext cx="1377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𝑖_𝑡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31</xdr:col>
      <xdr:colOff>319224</xdr:colOff>
      <xdr:row>32</xdr:row>
      <xdr:rowOff>0</xdr:rowOff>
    </xdr:from>
    <xdr:to>
      <xdr:col>33</xdr:col>
      <xdr:colOff>47063</xdr:colOff>
      <xdr:row>34</xdr:row>
      <xdr:rowOff>60971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6060188A-AC74-5F43-9BBF-71E54CA16B34}"/>
            </a:ext>
          </a:extLst>
        </xdr:cNvPr>
        <xdr:cNvSpPr/>
      </xdr:nvSpPr>
      <xdr:spPr>
        <a:xfrm>
          <a:off x="7939224" y="10718242"/>
          <a:ext cx="453553" cy="451740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32</xdr:col>
      <xdr:colOff>103855</xdr:colOff>
      <xdr:row>35</xdr:row>
      <xdr:rowOff>1049</xdr:rowOff>
    </xdr:from>
    <xdr:ext cx="18434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6572AE30-50FE-BF4D-AA0B-94709B4B9694}"/>
                </a:ext>
              </a:extLst>
            </xdr:cNvPr>
            <xdr:cNvSpPr txBox="1"/>
          </xdr:nvSpPr>
          <xdr:spPr>
            <a:xfrm>
              <a:off x="8086712" y="11305445"/>
              <a:ext cx="18434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𝒏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6572AE30-50FE-BF4D-AA0B-94709B4B9694}"/>
                </a:ext>
              </a:extLst>
            </xdr:cNvPr>
            <xdr:cNvSpPr txBox="1"/>
          </xdr:nvSpPr>
          <xdr:spPr>
            <a:xfrm>
              <a:off x="8086712" y="11305445"/>
              <a:ext cx="18434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𝒏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25</xdr:col>
      <xdr:colOff>86591</xdr:colOff>
      <xdr:row>28</xdr:row>
      <xdr:rowOff>0</xdr:rowOff>
    </xdr:from>
    <xdr:ext cx="17774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88325AC1-58D2-B646-A6F5-6027C68F95E7}"/>
                </a:ext>
              </a:extLst>
            </xdr:cNvPr>
            <xdr:cNvSpPr txBox="1"/>
          </xdr:nvSpPr>
          <xdr:spPr>
            <a:xfrm>
              <a:off x="5529448" y="9936703"/>
              <a:ext cx="17774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𝒗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88325AC1-58D2-B646-A6F5-6027C68F95E7}"/>
                </a:ext>
              </a:extLst>
            </xdr:cNvPr>
            <xdr:cNvSpPr txBox="1"/>
          </xdr:nvSpPr>
          <xdr:spPr>
            <a:xfrm>
              <a:off x="5529448" y="9936703"/>
              <a:ext cx="17774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𝒗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25</xdr:col>
      <xdr:colOff>80972</xdr:colOff>
      <xdr:row>32</xdr:row>
      <xdr:rowOff>0</xdr:rowOff>
    </xdr:from>
    <xdr:ext cx="13779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95858F3-6BEB-C64F-AF6F-7A552C723C67}"/>
                </a:ext>
              </a:extLst>
            </xdr:cNvPr>
            <xdr:cNvSpPr txBox="1"/>
          </xdr:nvSpPr>
          <xdr:spPr>
            <a:xfrm>
              <a:off x="5523829" y="10718242"/>
              <a:ext cx="13779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̃"/>
                            <m:ctrlPr>
                              <a:rPr lang="en-US" sz="1100" b="0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accent2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95858F3-6BEB-C64F-AF6F-7A552C723C67}"/>
                </a:ext>
              </a:extLst>
            </xdr:cNvPr>
            <xdr:cNvSpPr txBox="1"/>
          </xdr:nvSpPr>
          <xdr:spPr>
            <a:xfrm>
              <a:off x="5523829" y="10718242"/>
              <a:ext cx="13779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𝑖 ̃_𝑡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26</xdr:col>
      <xdr:colOff>288636</xdr:colOff>
      <xdr:row>28</xdr:row>
      <xdr:rowOff>0</xdr:rowOff>
    </xdr:from>
    <xdr:ext cx="525318" cy="225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5F0C559D-164E-8E4B-8942-01E8ACEFC47D}"/>
                </a:ext>
              </a:extLst>
            </xdr:cNvPr>
            <xdr:cNvSpPr txBox="1"/>
          </xdr:nvSpPr>
          <xdr:spPr>
            <a:xfrm>
              <a:off x="6094350" y="9936703"/>
              <a:ext cx="525318" cy="225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𝒗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sSubSup>
                      <m:sSubSup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𝒌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  <a:p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5F0C559D-164E-8E4B-8942-01E8ACEFC47D}"/>
                </a:ext>
              </a:extLst>
            </xdr:cNvPr>
            <xdr:cNvSpPr txBox="1"/>
          </xdr:nvSpPr>
          <xdr:spPr>
            <a:xfrm>
              <a:off x="6094350" y="9936703"/>
              <a:ext cx="525318" cy="225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𝒗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𝒌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_𝑡^𝑇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  <a:p>
              <a:pPr/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25</xdr:col>
      <xdr:colOff>80818</xdr:colOff>
      <xdr:row>19</xdr:row>
      <xdr:rowOff>184727</xdr:rowOff>
    </xdr:from>
    <xdr:ext cx="17838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AC2486A5-6C7E-1043-8D0A-38B66DD39E45}"/>
                </a:ext>
              </a:extLst>
            </xdr:cNvPr>
            <xdr:cNvSpPr txBox="1"/>
          </xdr:nvSpPr>
          <xdr:spPr>
            <a:xfrm>
              <a:off x="5523675" y="8362969"/>
              <a:ext cx="17838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AC2486A5-6C7E-1043-8D0A-38B66DD39E45}"/>
                </a:ext>
              </a:extLst>
            </xdr:cNvPr>
            <xdr:cNvSpPr txBox="1"/>
          </xdr:nvSpPr>
          <xdr:spPr>
            <a:xfrm>
              <a:off x="5523675" y="8362969"/>
              <a:ext cx="17838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𝒒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30</xdr:col>
      <xdr:colOff>80818</xdr:colOff>
      <xdr:row>20</xdr:row>
      <xdr:rowOff>0</xdr:rowOff>
    </xdr:from>
    <xdr:ext cx="17838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EC912AFA-C738-1744-AEC7-1CC0AFEAE3BE}"/>
                </a:ext>
              </a:extLst>
            </xdr:cNvPr>
            <xdr:cNvSpPr txBox="1"/>
          </xdr:nvSpPr>
          <xdr:spPr>
            <a:xfrm>
              <a:off x="7337961" y="8373626"/>
              <a:ext cx="17838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EC912AFA-C738-1744-AEC7-1CC0AFEAE3BE}"/>
                </a:ext>
              </a:extLst>
            </xdr:cNvPr>
            <xdr:cNvSpPr txBox="1"/>
          </xdr:nvSpPr>
          <xdr:spPr>
            <a:xfrm>
              <a:off x="7337961" y="8373626"/>
              <a:ext cx="17838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𝒒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30</xdr:col>
      <xdr:colOff>31275</xdr:colOff>
      <xdr:row>34</xdr:row>
      <xdr:rowOff>162588</xdr:rowOff>
    </xdr:from>
    <xdr:ext cx="323999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280BC0DA-33AF-D54D-959A-F932A30E1453}"/>
                </a:ext>
              </a:extLst>
            </xdr:cNvPr>
            <xdr:cNvSpPr txBox="1"/>
          </xdr:nvSpPr>
          <xdr:spPr>
            <a:xfrm>
              <a:off x="7288418" y="11271599"/>
              <a:ext cx="3239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𝑪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280BC0DA-33AF-D54D-959A-F932A30E1453}"/>
                </a:ext>
              </a:extLst>
            </xdr:cNvPr>
            <xdr:cNvSpPr txBox="1"/>
          </xdr:nvSpPr>
          <xdr:spPr>
            <a:xfrm>
              <a:off x="7288418" y="11271599"/>
              <a:ext cx="323999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𝑪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𝒒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26</xdr:col>
      <xdr:colOff>311991</xdr:colOff>
      <xdr:row>39</xdr:row>
      <xdr:rowOff>16949</xdr:rowOff>
    </xdr:from>
    <xdr:ext cx="1050159" cy="1706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17263F1C-149E-9346-A966-CA0EDCBB25C6}"/>
                </a:ext>
              </a:extLst>
            </xdr:cNvPr>
            <xdr:cNvSpPr txBox="1"/>
          </xdr:nvSpPr>
          <xdr:spPr>
            <a:xfrm>
              <a:off x="6117705" y="12102883"/>
              <a:ext cx="1050159" cy="170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solidFill>
                          <a:schemeClr val="accent2">
                            <a:lumMod val="75000"/>
                          </a:schemeClr>
                        </a:solidFill>
                        <a:latin typeface="Cambria Math" panose="02040503050406030204" pitchFamily="18" charset="0"/>
                      </a:rPr>
                      <m:t>max</m:t>
                    </m:r>
                    <m:r>
                      <a:rPr lang="en-US" sz="1100" b="0" i="1">
                        <a:solidFill>
                          <a:schemeClr val="accent2">
                            <a:lumMod val="75000"/>
                          </a:schemeClr>
                        </a:solidFill>
                        <a:latin typeface="Cambria Math" panose="02040503050406030204" pitchFamily="18" charset="0"/>
                      </a:rPr>
                      <m:t>⁡({|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𝒏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sSubSup>
                      <m:sSubSup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bSup>
                    <m:r>
                      <a:rPr lang="en-US" sz="1100" b="0" i="1">
                        <a:solidFill>
                          <a:schemeClr val="accent2">
                            <a:lumMod val="75000"/>
                          </a:schemeClr>
                        </a:solidFill>
                        <a:latin typeface="Cambria Math" panose="02040503050406030204" pitchFamily="18" charset="0"/>
                      </a:rPr>
                      <m:t>|,1}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accent2">
                            <a:lumMod val="75000"/>
                          </a:schemeClr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17263F1C-149E-9346-A966-CA0EDCBB25C6}"/>
                </a:ext>
              </a:extLst>
            </xdr:cNvPr>
            <xdr:cNvSpPr txBox="1"/>
          </xdr:nvSpPr>
          <xdr:spPr>
            <a:xfrm>
              <a:off x="6117705" y="12102883"/>
              <a:ext cx="1050159" cy="170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max⁡({|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𝒏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𝒒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_𝑡^𝑇 |,1}")"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29</xdr:col>
      <xdr:colOff>324665</xdr:colOff>
      <xdr:row>35</xdr:row>
      <xdr:rowOff>167341</xdr:rowOff>
    </xdr:from>
    <xdr:to>
      <xdr:col>31</xdr:col>
      <xdr:colOff>52504</xdr:colOff>
      <xdr:row>40</xdr:row>
      <xdr:rowOff>51091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412BED29-151B-7A42-A6F0-7301F271316F}"/>
            </a:ext>
          </a:extLst>
        </xdr:cNvPr>
        <xdr:cNvSpPr/>
      </xdr:nvSpPr>
      <xdr:spPr>
        <a:xfrm>
          <a:off x="7218951" y="11471737"/>
          <a:ext cx="453553" cy="860673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25</xdr:col>
      <xdr:colOff>203136</xdr:colOff>
      <xdr:row>27</xdr:row>
      <xdr:rowOff>4310</xdr:rowOff>
    </xdr:from>
    <xdr:ext cx="725393" cy="254429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79A107A9-C491-274F-BD55-CA48480FC702}"/>
            </a:ext>
          </a:extLst>
        </xdr:cNvPr>
        <xdr:cNvSpPr txBox="1"/>
      </xdr:nvSpPr>
      <xdr:spPr>
        <a:xfrm>
          <a:off x="5645993" y="9745629"/>
          <a:ext cx="725393" cy="2544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 kern="1200"/>
            <a:t>store</a:t>
          </a:r>
        </a:p>
      </xdr:txBody>
    </xdr:sp>
    <xdr:clientData/>
  </xdr:oneCellAnchor>
  <xdr:oneCellAnchor>
    <xdr:from>
      <xdr:col>28</xdr:col>
      <xdr:colOff>132239</xdr:colOff>
      <xdr:row>34</xdr:row>
      <xdr:rowOff>31105</xdr:rowOff>
    </xdr:from>
    <xdr:ext cx="725393" cy="254429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D7FB8EFA-C353-3747-BFC4-9E712B60051C}"/>
            </a:ext>
          </a:extLst>
        </xdr:cNvPr>
        <xdr:cNvSpPr txBox="1"/>
      </xdr:nvSpPr>
      <xdr:spPr>
        <a:xfrm>
          <a:off x="6663668" y="11140116"/>
          <a:ext cx="725393" cy="2544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 kern="1200"/>
            <a:t>retrieve</a:t>
          </a:r>
        </a:p>
      </xdr:txBody>
    </xdr:sp>
    <xdr:clientData/>
  </xdr:oneCellAnchor>
  <xdr:twoCellAnchor>
    <xdr:from>
      <xdr:col>24</xdr:col>
      <xdr:colOff>167472</xdr:colOff>
      <xdr:row>10</xdr:row>
      <xdr:rowOff>97693</xdr:rowOff>
    </xdr:from>
    <xdr:to>
      <xdr:col>33</xdr:col>
      <xdr:colOff>293077</xdr:colOff>
      <xdr:row>52</xdr:row>
      <xdr:rowOff>97692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4A383A14-B564-B14F-B676-31E12D87570D}"/>
            </a:ext>
          </a:extLst>
        </xdr:cNvPr>
        <xdr:cNvSpPr/>
      </xdr:nvSpPr>
      <xdr:spPr>
        <a:xfrm>
          <a:off x="8980966" y="5820344"/>
          <a:ext cx="3430665" cy="769650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>
              <a:solidFill>
                <a:schemeClr val="tx1"/>
              </a:solidFill>
            </a:rPr>
            <a:t>mLSTM</a:t>
          </a:r>
        </a:p>
      </xdr:txBody>
    </xdr:sp>
    <xdr:clientData/>
  </xdr:twoCellAnchor>
  <xdr:oneCellAnchor>
    <xdr:from>
      <xdr:col>27</xdr:col>
      <xdr:colOff>86591</xdr:colOff>
      <xdr:row>24</xdr:row>
      <xdr:rowOff>190500</xdr:rowOff>
    </xdr:from>
    <xdr:ext cx="197618" cy="170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5540EA97-04E8-EC43-94DD-A41ADFDC35A9}"/>
                </a:ext>
              </a:extLst>
            </xdr:cNvPr>
            <xdr:cNvSpPr txBox="1"/>
          </xdr:nvSpPr>
          <xdr:spPr>
            <a:xfrm>
              <a:off x="6255162" y="9345665"/>
              <a:ext cx="197618" cy="170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𝒌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5540EA97-04E8-EC43-94DD-A41ADFDC35A9}"/>
                </a:ext>
              </a:extLst>
            </xdr:cNvPr>
            <xdr:cNvSpPr txBox="1"/>
          </xdr:nvSpPr>
          <xdr:spPr>
            <a:xfrm>
              <a:off x="6255162" y="9345665"/>
              <a:ext cx="197618" cy="170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𝒌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_𝑡^𝑇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22</xdr:col>
      <xdr:colOff>94108</xdr:colOff>
      <xdr:row>24</xdr:row>
      <xdr:rowOff>4261</xdr:rowOff>
    </xdr:from>
    <xdr:ext cx="17940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26293791-2103-2944-A0B5-09C69E47B39B}"/>
                </a:ext>
              </a:extLst>
            </xdr:cNvPr>
            <xdr:cNvSpPr txBox="1"/>
          </xdr:nvSpPr>
          <xdr:spPr>
            <a:xfrm>
              <a:off x="5587053" y="8941009"/>
              <a:ext cx="1794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𝒌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26293791-2103-2944-A0B5-09C69E47B39B}"/>
                </a:ext>
              </a:extLst>
            </xdr:cNvPr>
            <xdr:cNvSpPr txBox="1"/>
          </xdr:nvSpPr>
          <xdr:spPr>
            <a:xfrm>
              <a:off x="5587053" y="8941009"/>
              <a:ext cx="1794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𝒌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32</xdr:col>
      <xdr:colOff>98021</xdr:colOff>
      <xdr:row>32</xdr:row>
      <xdr:rowOff>13600</xdr:rowOff>
    </xdr:from>
    <xdr:ext cx="13779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57CF80F6-A282-A44B-9E4C-A5466B85E4AA}"/>
                </a:ext>
              </a:extLst>
            </xdr:cNvPr>
            <xdr:cNvSpPr txBox="1"/>
          </xdr:nvSpPr>
          <xdr:spPr>
            <a:xfrm>
              <a:off x="8220114" y="10616623"/>
              <a:ext cx="1377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57CF80F6-A282-A44B-9E4C-A5466B85E4AA}"/>
                </a:ext>
              </a:extLst>
            </xdr:cNvPr>
            <xdr:cNvSpPr txBox="1"/>
          </xdr:nvSpPr>
          <xdr:spPr>
            <a:xfrm>
              <a:off x="8220114" y="10616623"/>
              <a:ext cx="13779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𝑖_𝑡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31</xdr:col>
      <xdr:colOff>319224</xdr:colOff>
      <xdr:row>23</xdr:row>
      <xdr:rowOff>179202</xdr:rowOff>
    </xdr:from>
    <xdr:to>
      <xdr:col>33</xdr:col>
      <xdr:colOff>47063</xdr:colOff>
      <xdr:row>34</xdr:row>
      <xdr:rowOff>60971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112355A6-B317-F74A-95D0-397F6D9FC696}"/>
            </a:ext>
          </a:extLst>
        </xdr:cNvPr>
        <xdr:cNvSpPr/>
      </xdr:nvSpPr>
      <xdr:spPr>
        <a:xfrm>
          <a:off x="8072131" y="9054435"/>
          <a:ext cx="466211" cy="1993513"/>
        </a:xfrm>
        <a:prstGeom prst="rect">
          <a:avLst/>
        </a:prstGeom>
        <a:noFill/>
        <a:ln w="19050">
          <a:solidFill>
            <a:schemeClr val="tx1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32</xdr:col>
      <xdr:colOff>94108</xdr:colOff>
      <xdr:row>24</xdr:row>
      <xdr:rowOff>4261</xdr:rowOff>
    </xdr:from>
    <xdr:ext cx="17940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297492DF-5854-724F-9DC3-0412A2A36C82}"/>
                </a:ext>
              </a:extLst>
            </xdr:cNvPr>
            <xdr:cNvSpPr txBox="1"/>
          </xdr:nvSpPr>
          <xdr:spPr>
            <a:xfrm>
              <a:off x="8216201" y="9071470"/>
              <a:ext cx="1794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𝒌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accent2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297492DF-5854-724F-9DC3-0412A2A36C82}"/>
                </a:ext>
              </a:extLst>
            </xdr:cNvPr>
            <xdr:cNvSpPr txBox="1"/>
          </xdr:nvSpPr>
          <xdr:spPr>
            <a:xfrm>
              <a:off x="8216201" y="9071470"/>
              <a:ext cx="17940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𝒌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17</xdr:col>
      <xdr:colOff>285443</xdr:colOff>
      <xdr:row>11</xdr:row>
      <xdr:rowOff>80165</xdr:rowOff>
    </xdr:from>
    <xdr:to>
      <xdr:col>27</xdr:col>
      <xdr:colOff>29612</xdr:colOff>
      <xdr:row>35</xdr:row>
      <xdr:rowOff>83732</xdr:rowOff>
    </xdr:to>
    <xdr:cxnSp macro="">
      <xdr:nvCxnSpPr>
        <xdr:cNvPr id="135" name="Curved Connector 134">
          <a:extLst>
            <a:ext uri="{FF2B5EF4-FFF2-40B4-BE49-F238E27FC236}">
              <a16:creationId xmlns:a16="http://schemas.microsoft.com/office/drawing/2014/main" id="{930935AA-CF0B-27CF-F28A-2B91372BD14B}"/>
            </a:ext>
          </a:extLst>
        </xdr:cNvPr>
        <xdr:cNvCxnSpPr>
          <a:stCxn id="37" idx="3"/>
          <a:endCxn id="97" idx="1"/>
        </xdr:cNvCxnSpPr>
      </xdr:nvCxnSpPr>
      <xdr:spPr>
        <a:xfrm flipV="1">
          <a:off x="6546543" y="6633365"/>
          <a:ext cx="3427169" cy="4575567"/>
        </a:xfrm>
        <a:prstGeom prst="curvedConnector3">
          <a:avLst/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288201</xdr:colOff>
      <xdr:row>11</xdr:row>
      <xdr:rowOff>74830</xdr:rowOff>
    </xdr:from>
    <xdr:to>
      <xdr:col>32</xdr:col>
      <xdr:colOff>29612</xdr:colOff>
      <xdr:row>35</xdr:row>
      <xdr:rowOff>83732</xdr:rowOff>
    </xdr:to>
    <xdr:cxnSp macro="">
      <xdr:nvCxnSpPr>
        <xdr:cNvPr id="136" name="Curved Connector 135">
          <a:extLst>
            <a:ext uri="{FF2B5EF4-FFF2-40B4-BE49-F238E27FC236}">
              <a16:creationId xmlns:a16="http://schemas.microsoft.com/office/drawing/2014/main" id="{9A8760CB-5BF8-CF44-B511-6DA2E34953C4}"/>
            </a:ext>
          </a:extLst>
        </xdr:cNvPr>
        <xdr:cNvCxnSpPr>
          <a:stCxn id="56" idx="3"/>
          <a:endCxn id="107" idx="1"/>
        </xdr:cNvCxnSpPr>
      </xdr:nvCxnSpPr>
      <xdr:spPr>
        <a:xfrm flipV="1">
          <a:off x="8390801" y="6628030"/>
          <a:ext cx="3424411" cy="4580902"/>
        </a:xfrm>
        <a:prstGeom prst="curvedConnector3">
          <a:avLst>
            <a:gd name="adj1" fmla="val 50000"/>
          </a:avLst>
        </a:prstGeom>
        <a:ln w="19050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9754</xdr:colOff>
      <xdr:row>37</xdr:row>
      <xdr:rowOff>7388</xdr:rowOff>
    </xdr:from>
    <xdr:ext cx="2583336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E963DA98-931B-0744-9861-58DE7738068A}"/>
                </a:ext>
              </a:extLst>
            </xdr:cNvPr>
            <xdr:cNvSpPr txBox="1"/>
          </xdr:nvSpPr>
          <xdr:spPr>
            <a:xfrm>
              <a:off x="1111441" y="11238472"/>
              <a:ext cx="25833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+mn-lt"/>
                </a:rPr>
                <a:t>(20)</a:t>
              </a:r>
              <a:r>
                <a:rPr lang="en-US" sz="1100" b="0" i="0" baseline="0">
                  <a:solidFill>
                    <a:schemeClr val="accent2">
                      <a:lumMod val="75000"/>
                    </a:schemeClr>
                  </a:solidFill>
                  <a:latin typeface="+mn-lt"/>
                </a:rPr>
                <a:t> Normalizer State: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𝒏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1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𝒏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−1</m:t>
                      </m:r>
                    </m:sub>
                  </m:sSub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100" b="0" i="1">
                      <a:solidFill>
                        <a:schemeClr val="accent2">
                          <a:lumMod val="75000"/>
                        </a:schemeClr>
                      </a:solidFill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sSub>
                        <m:sSubPr>
                          <m:ctrlP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1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𝒌</m:t>
                          </m:r>
                        </m:e>
                        <m:sub>
                          <m:r>
                            <a:rPr lang="en-US" sz="1100" b="0" i="1">
                              <a:solidFill>
                                <a:schemeClr val="accent2">
                                  <a:lumMod val="75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𝑡</m:t>
                          </m:r>
                        </m:sub>
                      </m:sSub>
                      <m:r>
                        <m:rPr>
                          <m:nor/>
                        </m:rPr>
                        <a:rPr lang="en-US" sz="1100">
                          <a:solidFill>
                            <a:schemeClr val="accent2">
                              <a:lumMod val="75000"/>
                            </a:schemeClr>
                          </a:solidFill>
                        </a:rPr>
                        <m:t> </m:t>
                      </m:r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𝑖</m:t>
                      </m:r>
                    </m:e>
                    <m:sub>
                      <m:r>
                        <a:rPr lang="en-US" sz="1100" b="0" i="1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</m:oMath>
              </a14:m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E963DA98-931B-0744-9861-58DE7738068A}"/>
                </a:ext>
              </a:extLst>
            </xdr:cNvPr>
            <xdr:cNvSpPr txBox="1"/>
          </xdr:nvSpPr>
          <xdr:spPr>
            <a:xfrm>
              <a:off x="1111441" y="11238472"/>
              <a:ext cx="2583336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+mn-lt"/>
                </a:rPr>
                <a:t>(20)</a:t>
              </a:r>
              <a:r>
                <a:rPr lang="en-US" sz="1100" b="0" i="0" baseline="0">
                  <a:solidFill>
                    <a:schemeClr val="accent2">
                      <a:lumMod val="75000"/>
                    </a:schemeClr>
                  </a:solidFill>
                  <a:latin typeface="+mn-lt"/>
                </a:rPr>
                <a:t> Normalizer State: 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𝒏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_𝑡=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𝒏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_(𝑡−1) 𝑓_𝑡+〖</a:t>
              </a:r>
              <a:r>
                <a:rPr lang="en-US" sz="1100" b="1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𝒌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_𝑡 "</a:t>
              </a:r>
              <a:r>
                <a:rPr lang="en-US" sz="1100" i="0">
                  <a:solidFill>
                    <a:schemeClr val="accent2">
                      <a:lumMod val="75000"/>
                    </a:schemeClr>
                  </a:solidFill>
                </a:rPr>
                <a:t> </a:t>
              </a:r>
              <a:r>
                <a:rPr lang="en-US" sz="1100" b="0" i="0">
                  <a:solidFill>
                    <a:schemeClr val="accent2">
                      <a:lumMod val="75000"/>
                    </a:schemeClr>
                  </a:solidFill>
                  <a:latin typeface="Cambria Math" panose="02040503050406030204" pitchFamily="18" charset="0"/>
                </a:rPr>
                <a:t>" 𝑖〗_𝑡</a:t>
              </a:r>
              <a:endParaRPr lang="en-US" sz="1100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mc:Fallback>
    </mc:AlternateContent>
    <xdr:clientData/>
  </xdr:oneCellAnchor>
  <xdr:twoCellAnchor editAs="oneCell">
    <xdr:from>
      <xdr:col>2</xdr:col>
      <xdr:colOff>306024</xdr:colOff>
      <xdr:row>1</xdr:row>
      <xdr:rowOff>153011</xdr:rowOff>
    </xdr:from>
    <xdr:to>
      <xdr:col>9</xdr:col>
      <xdr:colOff>192663</xdr:colOff>
      <xdr:row>1</xdr:row>
      <xdr:rowOff>3810001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F1F64910-1B88-1C11-B82F-4B06BDBAE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4998" y="413524"/>
          <a:ext cx="2508050" cy="36569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3</xdr:col>
      <xdr:colOff>35863</xdr:colOff>
      <xdr:row>1</xdr:row>
      <xdr:rowOff>3946293</xdr:rowOff>
    </xdr:from>
    <xdr:ext cx="2239652" cy="254429"/>
    <xdr:sp macro="" textlink="">
      <xdr:nvSpPr>
        <xdr:cNvPr id="143" name="TextBox 14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B0C57C-5FE5-C23D-7145-F00C346CA4CB}"/>
            </a:ext>
          </a:extLst>
        </xdr:cNvPr>
        <xdr:cNvSpPr txBox="1"/>
      </xdr:nvSpPr>
      <xdr:spPr>
        <a:xfrm>
          <a:off x="1159325" y="4206806"/>
          <a:ext cx="2239652" cy="25442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https://arxiv.org/abs/2405.04517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 kern="12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Relationship Id="rId1" Type="http://schemas.openxmlformats.org/officeDocument/2006/relationships/externalLinkPath" Target="/personal/peye9704_colorado_edu/Documents/2024/AIbyHand/spreadsheets/github/ai-by-hand-excel/basic/LeakyReL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U vs. LeakyReLU"/>
      <sheetName val="LICENSE"/>
    </sheetNames>
    <sheetDataSet>
      <sheetData sheetId="0">
        <row r="5">
          <cell r="H5">
            <v>0.1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79E1A8-202A-EA4B-8120-8E527B5B2799}">
  <we:reference id="wa200002346" version="1.1.0.0" store="en-US" storeType="OMEX"/>
  <we:alternateReferences>
    <we:reference id="WA200002346" version="1.1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54D0-B319-9149-B2E4-7E7A6BE468E1}">
  <dimension ref="A1:AH56"/>
  <sheetViews>
    <sheetView showGridLines="0" tabSelected="1" zoomScale="107" zoomScaleNormal="107" workbookViewId="0">
      <pane ySplit="1" topLeftCell="A2" activePane="bottomLeft" state="frozen"/>
      <selection pane="bottomLeft" activeCell="V8" sqref="V8"/>
    </sheetView>
  </sheetViews>
  <sheetFormatPr baseColWidth="10" defaultRowHeight="13"/>
  <cols>
    <col min="1" max="7" width="4.83203125" customWidth="1"/>
    <col min="8" max="21" width="4.83203125" style="5" customWidth="1"/>
    <col min="22" max="24" width="4.83203125" customWidth="1"/>
    <col min="25" max="31" width="4.83203125" style="5" customWidth="1"/>
    <col min="32" max="34" width="4.83203125" customWidth="1"/>
  </cols>
  <sheetData>
    <row r="1" spans="1:34" ht="21" customHeight="1">
      <c r="A1" s="8" t="s">
        <v>27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ht="315" customHeight="1">
      <c r="Q2" s="3"/>
      <c r="R2" s="3"/>
      <c r="S2" s="3"/>
      <c r="T2" s="3"/>
      <c r="U2" s="3"/>
      <c r="AA2" s="3"/>
      <c r="AB2" s="3"/>
      <c r="AC2" s="3"/>
      <c r="AD2" s="3"/>
      <c r="AE2" s="3"/>
    </row>
    <row r="3" spans="1:34" ht="15" customHeight="1">
      <c r="Q3" s="3"/>
      <c r="R3" s="3"/>
      <c r="S3" s="3"/>
      <c r="T3" s="3"/>
      <c r="U3" s="3"/>
      <c r="AA3" s="3"/>
      <c r="AB3" s="3"/>
      <c r="AC3" s="3"/>
      <c r="AD3" s="3"/>
      <c r="AE3" s="3"/>
    </row>
    <row r="4" spans="1:34" ht="15" customHeight="1">
      <c r="A4" s="9"/>
      <c r="B4" s="5"/>
      <c r="C4" s="5"/>
      <c r="L4" s="1" t="s">
        <v>0</v>
      </c>
      <c r="M4"/>
      <c r="N4" s="52" t="s">
        <v>1</v>
      </c>
      <c r="P4" s="3">
        <v>1</v>
      </c>
      <c r="Z4" s="3">
        <v>2</v>
      </c>
    </row>
    <row r="5" spans="1:34" ht="15" customHeight="1">
      <c r="A5" s="9"/>
      <c r="B5" s="5"/>
      <c r="C5" s="5"/>
      <c r="O5" s="2"/>
      <c r="W5" s="9"/>
      <c r="X5" s="9"/>
      <c r="Y5" s="2"/>
      <c r="AG5" s="9"/>
      <c r="AH5" s="9"/>
    </row>
    <row r="6" spans="1:34" ht="15" customHeight="1">
      <c r="A6" s="9"/>
      <c r="B6" s="5"/>
      <c r="C6" s="5"/>
      <c r="P6" s="27">
        <v>1</v>
      </c>
      <c r="Z6" s="27">
        <v>2</v>
      </c>
    </row>
    <row r="7" spans="1:34" ht="15" customHeight="1">
      <c r="A7" s="9"/>
      <c r="B7" s="5"/>
      <c r="C7" s="5"/>
      <c r="P7" s="27">
        <v>2</v>
      </c>
      <c r="Z7" s="27">
        <v>-1</v>
      </c>
    </row>
    <row r="8" spans="1:34" ht="15" customHeight="1">
      <c r="K8" s="29"/>
      <c r="O8" s="17"/>
      <c r="P8" s="27">
        <v>1</v>
      </c>
      <c r="Y8" s="17"/>
      <c r="Z8" s="27">
        <v>1</v>
      </c>
    </row>
    <row r="9" spans="1:34" ht="15" customHeight="1">
      <c r="P9" s="24">
        <v>1</v>
      </c>
      <c r="Z9" s="24">
        <v>1</v>
      </c>
    </row>
    <row r="10" spans="1:34" ht="15" customHeight="1">
      <c r="P10" s="3" t="s">
        <v>2</v>
      </c>
      <c r="Z10" s="3" t="s">
        <v>2</v>
      </c>
    </row>
    <row r="11" spans="1:34" ht="15" customHeight="1"/>
    <row r="12" spans="1:34" ht="15" customHeight="1">
      <c r="W12" s="5"/>
      <c r="AG12" s="5"/>
    </row>
    <row r="13" spans="1:34" ht="15" customHeight="1">
      <c r="R13" s="23">
        <v>0</v>
      </c>
      <c r="S13" s="23">
        <v>0</v>
      </c>
      <c r="W13" s="23">
        <v>1</v>
      </c>
      <c r="AB13" s="23" cm="1">
        <f t="array" ref="AB13:AC14">_xlfn.ANCHORARRAY(R37)</f>
        <v>0.26013004751144442</v>
      </c>
      <c r="AC13" s="23">
        <v>-7.6190326925723265E-2</v>
      </c>
      <c r="AG13" s="23" cm="1">
        <f t="array" ref="AG13:AG14">_xlfn.ANCHORARRAY(W37)</f>
        <v>0.63946301704500641</v>
      </c>
    </row>
    <row r="14" spans="1:34" ht="15" customHeight="1">
      <c r="R14" s="23">
        <v>0</v>
      </c>
      <c r="S14" s="23">
        <v>0</v>
      </c>
      <c r="W14" s="23">
        <v>1</v>
      </c>
      <c r="AB14" s="23">
        <v>0.52026009502288884</v>
      </c>
      <c r="AC14" s="23">
        <v>-0.15238065385144653</v>
      </c>
      <c r="AG14" s="23">
        <v>-3.3177731829328982E-2</v>
      </c>
    </row>
    <row r="15" spans="1:34" ht="15" customHeight="1">
      <c r="R15" s="21" t="s">
        <v>23</v>
      </c>
      <c r="S15" s="21"/>
      <c r="T15" s="21"/>
      <c r="U15" s="21"/>
      <c r="W15" s="21" t="s">
        <v>23</v>
      </c>
      <c r="AB15" s="21" t="s">
        <v>23</v>
      </c>
      <c r="AC15" s="21"/>
      <c r="AD15" s="21"/>
      <c r="AE15" s="21"/>
      <c r="AG15" s="21" t="s">
        <v>23</v>
      </c>
    </row>
    <row r="16" spans="1:34" ht="15" customHeight="1" thickBot="1">
      <c r="H16" s="16"/>
      <c r="M16" s="16"/>
      <c r="Q16" s="15" t="s">
        <v>22</v>
      </c>
      <c r="W16" s="5"/>
      <c r="AA16" s="15" t="s">
        <v>22</v>
      </c>
      <c r="AG16" s="5"/>
    </row>
    <row r="17" spans="6:33" ht="15" customHeight="1" thickBot="1">
      <c r="J17" s="40">
        <v>0</v>
      </c>
      <c r="K17" s="41">
        <v>-1</v>
      </c>
      <c r="L17" s="41">
        <v>0</v>
      </c>
      <c r="M17" s="42">
        <v>0</v>
      </c>
      <c r="N17" s="3" t="s">
        <v>3</v>
      </c>
      <c r="O17" s="3"/>
      <c r="P17" s="6" cm="1">
        <f t="array" ref="P17">MMULT($J17:$M17,P$6:P$9)</f>
        <v>-2</v>
      </c>
      <c r="Q17" s="3" t="s">
        <v>21</v>
      </c>
      <c r="R17" s="22" cm="1">
        <f t="array" ref="R17">1/(1+EXP(-_xlfn.ANCHORARRAY(P17)))</f>
        <v>0.11920292202211755</v>
      </c>
      <c r="W17" s="22">
        <f>R17</f>
        <v>0.11920292202211755</v>
      </c>
      <c r="Y17" s="3"/>
      <c r="Z17" s="6" cm="1">
        <f t="array" ref="Z17">MMULT($J17:$M17,Z$6:Z$9)</f>
        <v>1</v>
      </c>
      <c r="AA17" s="3" t="s">
        <v>21</v>
      </c>
      <c r="AB17" s="22" cm="1">
        <f t="array" ref="AB17">1/(1+EXP(-_xlfn.ANCHORARRAY(Z17)))</f>
        <v>0.7310585786300049</v>
      </c>
      <c r="AG17" s="53">
        <f>AB17</f>
        <v>0.7310585786300049</v>
      </c>
    </row>
    <row r="18" spans="6:33" ht="15" customHeight="1"/>
    <row r="19" spans="6:33" ht="15" customHeight="1">
      <c r="R19" s="18" t="s">
        <v>24</v>
      </c>
      <c r="S19" s="18"/>
      <c r="T19" s="18"/>
      <c r="U19" s="18"/>
      <c r="W19" s="18" t="s">
        <v>24</v>
      </c>
      <c r="AB19" s="18" t="s">
        <v>24</v>
      </c>
      <c r="AC19" s="18"/>
      <c r="AD19" s="18"/>
      <c r="AE19" s="18"/>
      <c r="AG19" s="18" t="s">
        <v>24</v>
      </c>
    </row>
    <row r="20" spans="6:33" ht="15" customHeight="1">
      <c r="K20" s="19"/>
      <c r="L20" s="20"/>
      <c r="R20" s="18"/>
      <c r="S20" s="18"/>
      <c r="T20" s="18"/>
      <c r="U20" s="18"/>
      <c r="AB20" s="18"/>
      <c r="AC20" s="18"/>
      <c r="AD20" s="18"/>
      <c r="AE20" s="18"/>
    </row>
    <row r="21" spans="6:33" ht="15" customHeight="1" thickBot="1">
      <c r="M21" s="16"/>
      <c r="Q21"/>
      <c r="R21"/>
      <c r="S21"/>
      <c r="T21"/>
      <c r="AA21"/>
      <c r="AB21"/>
      <c r="AC21"/>
      <c r="AD21"/>
    </row>
    <row r="22" spans="6:33" ht="15" customHeight="1">
      <c r="J22" s="34">
        <v>1</v>
      </c>
      <c r="K22" s="35">
        <v>0</v>
      </c>
      <c r="L22" s="35">
        <v>1</v>
      </c>
      <c r="M22" s="25">
        <v>-1</v>
      </c>
      <c r="N22" s="3" t="s">
        <v>3</v>
      </c>
      <c r="O22" s="3"/>
      <c r="P22" s="6" cm="1">
        <f t="array" ref="P22:P23">MMULT($J22:$M23,P$6:P$9)</f>
        <v>1</v>
      </c>
      <c r="Q22"/>
      <c r="R22"/>
      <c r="S22"/>
      <c r="T22"/>
      <c r="U22" s="6" cm="1">
        <f t="array" ref="U22:U23">_xlfn.ANCHORARRAY(P22)</f>
        <v>1</v>
      </c>
      <c r="Y22" s="3"/>
      <c r="Z22" s="6" cm="1">
        <f t="array" ref="Z22:Z23">MMULT($J22:$M23,Z$6:Z$9)</f>
        <v>2</v>
      </c>
      <c r="AA22"/>
      <c r="AB22"/>
      <c r="AC22"/>
      <c r="AD22"/>
      <c r="AE22" s="6" cm="1">
        <f t="array" ref="AE22:AE23">_xlfn.ANCHORARRAY(Z22)</f>
        <v>2</v>
      </c>
    </row>
    <row r="23" spans="6:33" ht="15" customHeight="1" thickBot="1">
      <c r="J23" s="36">
        <v>0</v>
      </c>
      <c r="K23" s="37">
        <v>1</v>
      </c>
      <c r="L23" s="37">
        <v>1</v>
      </c>
      <c r="M23" s="26">
        <v>-1</v>
      </c>
      <c r="N23"/>
      <c r="O23" s="3"/>
      <c r="P23" s="6">
        <v>2</v>
      </c>
      <c r="Q23"/>
      <c r="R23"/>
      <c r="S23"/>
      <c r="T23"/>
      <c r="U23" s="6">
        <v>2</v>
      </c>
      <c r="Y23" s="3"/>
      <c r="Z23" s="6">
        <v>-1</v>
      </c>
      <c r="AA23"/>
      <c r="AB23"/>
      <c r="AC23"/>
      <c r="AD23"/>
      <c r="AE23" s="6">
        <v>-1</v>
      </c>
    </row>
    <row r="24" spans="6:33" ht="15" customHeight="1">
      <c r="Q24"/>
      <c r="R24"/>
      <c r="S24"/>
      <c r="T24"/>
      <c r="U24" s="3" t="s">
        <v>2</v>
      </c>
      <c r="AA24"/>
      <c r="AB24"/>
      <c r="AC24"/>
      <c r="AD24"/>
      <c r="AE24" s="3" t="s">
        <v>2</v>
      </c>
    </row>
    <row r="25" spans="6:33" ht="15" customHeight="1" thickBot="1">
      <c r="F25" s="5"/>
      <c r="G25" s="5"/>
      <c r="M25" s="16"/>
      <c r="Q25"/>
      <c r="R25"/>
      <c r="S25"/>
      <c r="T25"/>
      <c r="U25"/>
      <c r="W25" s="5"/>
      <c r="AA25"/>
      <c r="AB25"/>
      <c r="AC25"/>
      <c r="AD25"/>
      <c r="AE25"/>
      <c r="AG25" s="5"/>
    </row>
    <row r="26" spans="6:33" ht="15" customHeight="1">
      <c r="F26" s="30">
        <v>0</v>
      </c>
      <c r="G26" s="31">
        <v>1</v>
      </c>
      <c r="H26" s="50">
        <v>0</v>
      </c>
      <c r="J26" s="46" cm="1">
        <f t="array" ref="J26:L27">F26:H27/SQRT(2)</f>
        <v>0</v>
      </c>
      <c r="K26" s="46">
        <v>0.70710678118654746</v>
      </c>
      <c r="L26" s="47">
        <v>0</v>
      </c>
      <c r="M26" s="48">
        <v>0</v>
      </c>
      <c r="N26" s="3" t="s">
        <v>3</v>
      </c>
      <c r="O26" s="3"/>
      <c r="P26" s="6" cm="1">
        <f t="array" ref="P26:P27">MMULT($J26:$M27,P$6:P$9)</f>
        <v>1.4142135623730949</v>
      </c>
      <c r="Q26"/>
      <c r="R26"/>
      <c r="S26"/>
      <c r="T26"/>
      <c r="U26"/>
      <c r="W26" s="6" cm="1">
        <f t="array" ref="W26:W27">_xlfn.ANCHORARRAY(P26)</f>
        <v>1.4142135623730949</v>
      </c>
      <c r="Y26" s="3"/>
      <c r="Z26" s="6" cm="1">
        <f t="array" ref="Z26:Z27">MMULT($J26:$M27,Z$6:Z$9)</f>
        <v>-0.70710678118654746</v>
      </c>
      <c r="AA26"/>
      <c r="AB26"/>
      <c r="AC26"/>
      <c r="AD26"/>
      <c r="AE26"/>
      <c r="AG26" s="6" cm="1">
        <f t="array" ref="AG26:AG27">_xlfn.ANCHORARRAY(Z26)</f>
        <v>-0.70710678118654746</v>
      </c>
    </row>
    <row r="27" spans="6:33" ht="15" customHeight="1" thickBot="1">
      <c r="F27" s="32">
        <v>-1</v>
      </c>
      <c r="G27" s="33">
        <v>0</v>
      </c>
      <c r="H27" s="51">
        <v>-1</v>
      </c>
      <c r="J27" s="46">
        <v>-0.70710678118654746</v>
      </c>
      <c r="K27" s="46">
        <v>0</v>
      </c>
      <c r="L27" s="47">
        <v>-0.70710678118654746</v>
      </c>
      <c r="M27" s="49">
        <v>1</v>
      </c>
      <c r="N27" s="3" t="s">
        <v>3</v>
      </c>
      <c r="O27" s="3"/>
      <c r="P27" s="6">
        <v>-0.41421356237309492</v>
      </c>
      <c r="Q27"/>
      <c r="R27" s="43" cm="1">
        <f t="array" ref="R27:S27">TRANSPOSE(_xlfn.ANCHORARRAY(P26))</f>
        <v>1.4142135623730949</v>
      </c>
      <c r="S27" s="43">
        <v>-0.41421356237309492</v>
      </c>
      <c r="T27"/>
      <c r="U27"/>
      <c r="W27" s="6">
        <v>-0.41421356237309492</v>
      </c>
      <c r="Y27" s="3"/>
      <c r="Z27" s="6">
        <v>-1.1213203435596424</v>
      </c>
      <c r="AA27"/>
      <c r="AB27" s="43" cm="1">
        <f t="array" ref="AB27:AC27">TRANSPOSE(_xlfn.ANCHORARRAY(Z26))</f>
        <v>-0.70710678118654746</v>
      </c>
      <c r="AC27" s="43">
        <v>-1.1213203435596424</v>
      </c>
      <c r="AD27"/>
      <c r="AE27"/>
      <c r="AG27" s="6">
        <v>-1.1213203435596424</v>
      </c>
    </row>
    <row r="28" spans="6:33" ht="15" customHeight="1">
      <c r="R28" s="3" t="s">
        <v>2</v>
      </c>
      <c r="S28" s="3" t="s">
        <v>2</v>
      </c>
      <c r="T28"/>
      <c r="U28"/>
      <c r="AB28" s="3" t="s">
        <v>2</v>
      </c>
      <c r="AC28" s="3" t="s">
        <v>2</v>
      </c>
      <c r="AD28"/>
      <c r="AE28"/>
    </row>
    <row r="29" spans="6:33" ht="15" customHeight="1" thickBot="1">
      <c r="H29" s="16"/>
      <c r="M29" s="16"/>
    </row>
    <row r="30" spans="6:33" ht="15" customHeight="1">
      <c r="H30"/>
      <c r="I30"/>
      <c r="J30" s="34">
        <v>1</v>
      </c>
      <c r="K30" s="35">
        <v>0</v>
      </c>
      <c r="L30" s="35">
        <v>0.5</v>
      </c>
      <c r="M30" s="25">
        <v>-1</v>
      </c>
      <c r="N30" s="3" t="s">
        <v>3</v>
      </c>
      <c r="O30" s="3"/>
      <c r="P30" s="6" cm="1">
        <f t="array" ref="P30:P31">MMULT($J30:$M31,P$6:P$9)</f>
        <v>0.5</v>
      </c>
      <c r="Q30" s="3" t="s">
        <v>3</v>
      </c>
      <c r="R30" s="43" cm="1">
        <f t="array" ref="R30:S31">MMULT(_xlfn.ANCHORARRAY(P30),_xlfn.ANCHORARRAY(R27))</f>
        <v>0.70710678118654746</v>
      </c>
      <c r="S30" s="43">
        <v>-0.20710678118654746</v>
      </c>
      <c r="Y30" s="3"/>
      <c r="Z30" s="6" cm="1">
        <f t="array" ref="Z30:Z31">MMULT($J30:$M31,Z$6:Z$9)</f>
        <v>1.5</v>
      </c>
      <c r="AA30" s="3" t="s">
        <v>3</v>
      </c>
      <c r="AB30" s="43" cm="1">
        <f t="array" ref="AB30:AC31">MMULT(_xlfn.ANCHORARRAY(Z30),_xlfn.ANCHORARRAY(AB27))</f>
        <v>-1.0606601717798212</v>
      </c>
      <c r="AC30" s="43">
        <v>-1.6819805153394636</v>
      </c>
    </row>
    <row r="31" spans="6:33" ht="15" customHeight="1" thickBot="1">
      <c r="H31"/>
      <c r="I31"/>
      <c r="J31" s="36">
        <v>-1</v>
      </c>
      <c r="K31" s="37">
        <v>1</v>
      </c>
      <c r="L31" s="37">
        <v>2</v>
      </c>
      <c r="M31" s="26">
        <v>-2</v>
      </c>
      <c r="N31"/>
      <c r="O31" s="3"/>
      <c r="P31" s="6">
        <v>1</v>
      </c>
      <c r="Q31" s="3" t="s">
        <v>3</v>
      </c>
      <c r="R31" s="43">
        <v>1.4142135623730949</v>
      </c>
      <c r="S31" s="43">
        <v>-0.41421356237309492</v>
      </c>
      <c r="Y31" s="3"/>
      <c r="Z31" s="6">
        <v>-3</v>
      </c>
      <c r="AA31" s="3" t="s">
        <v>3</v>
      </c>
      <c r="AB31" s="43">
        <v>2.1213203435596424</v>
      </c>
      <c r="AC31" s="43">
        <v>3.3639610306789272</v>
      </c>
    </row>
    <row r="32" spans="6:33" ht="15" customHeight="1">
      <c r="H32"/>
      <c r="I32"/>
      <c r="J32"/>
      <c r="K32"/>
      <c r="L32"/>
      <c r="M32"/>
      <c r="N32"/>
      <c r="O32" s="3"/>
      <c r="P32"/>
      <c r="Q32"/>
      <c r="R32" s="21" t="s">
        <v>23</v>
      </c>
      <c r="S32"/>
      <c r="T32"/>
      <c r="W32" s="21" t="s">
        <v>23</v>
      </c>
      <c r="Y32" s="3"/>
      <c r="Z32"/>
      <c r="AA32"/>
      <c r="AB32" s="21" t="s">
        <v>23</v>
      </c>
      <c r="AC32"/>
      <c r="AD32"/>
      <c r="AG32" s="21" t="s">
        <v>23</v>
      </c>
    </row>
    <row r="33" spans="8:34" ht="15" customHeight="1" thickBot="1">
      <c r="H33"/>
      <c r="I33"/>
      <c r="M33" s="16"/>
      <c r="Q33" s="39" t="s">
        <v>25</v>
      </c>
      <c r="R33" s="13"/>
      <c r="S33" s="13"/>
      <c r="T33" s="13"/>
      <c r="W33" s="13"/>
      <c r="AA33" s="39" t="s">
        <v>25</v>
      </c>
      <c r="AB33" s="13"/>
      <c r="AC33" s="13"/>
      <c r="AD33" s="13"/>
      <c r="AG33" s="13"/>
    </row>
    <row r="34" spans="8:34" ht="15" customHeight="1" thickBot="1">
      <c r="H34"/>
      <c r="I34"/>
      <c r="J34" s="40">
        <v>1</v>
      </c>
      <c r="K34" s="41">
        <v>-1</v>
      </c>
      <c r="L34" s="41">
        <v>1</v>
      </c>
      <c r="M34" s="42">
        <v>-1</v>
      </c>
      <c r="N34" s="3" t="s">
        <v>3</v>
      </c>
      <c r="O34" s="3"/>
      <c r="P34" s="6" cm="1">
        <f t="array" ref="P34">MMULT($J34:$M34,P$6:P$9)</f>
        <v>-1</v>
      </c>
      <c r="Q34" s="3" t="s">
        <v>21</v>
      </c>
      <c r="R34" s="22">
        <f>EXP(P34)</f>
        <v>0.36787944117144233</v>
      </c>
      <c r="S34" s="13"/>
      <c r="W34" s="22" cm="1">
        <f t="array" ref="W34">_xlfn.ANCHORARRAY(R34)</f>
        <v>0.36787944117144233</v>
      </c>
      <c r="Y34" s="3"/>
      <c r="Z34" s="6" cm="1">
        <f t="array" ref="Z34">MMULT($J34:$M34,Z$6:Z$9)</f>
        <v>3</v>
      </c>
      <c r="AA34" s="3" t="s">
        <v>21</v>
      </c>
      <c r="AB34" s="22">
        <f>EXP(Z34)</f>
        <v>20.085536923187668</v>
      </c>
      <c r="AC34" s="13"/>
      <c r="AG34" s="22" cm="1">
        <f t="array" ref="AG34">_xlfn.ANCHORARRAY(AB34)</f>
        <v>20.085536923187668</v>
      </c>
    </row>
    <row r="35" spans="8:34" ht="15" customHeight="1">
      <c r="Q35"/>
      <c r="R35" s="3" t="s">
        <v>2</v>
      </c>
      <c r="S35"/>
      <c r="W35" s="3" t="s">
        <v>2</v>
      </c>
      <c r="AA35"/>
      <c r="AB35" s="3" t="s">
        <v>2</v>
      </c>
      <c r="AC35"/>
      <c r="AG35" s="3" t="s">
        <v>2</v>
      </c>
    </row>
    <row r="36" spans="8:34" ht="15" customHeight="1">
      <c r="R36" s="3"/>
      <c r="S36" s="3"/>
      <c r="T36" s="3"/>
      <c r="U36" s="3"/>
      <c r="W36" s="3"/>
      <c r="AB36" s="3"/>
      <c r="AC36" s="3"/>
      <c r="AD36" s="3"/>
      <c r="AE36" s="3"/>
      <c r="AG36" s="3"/>
    </row>
    <row r="37" spans="8:34" ht="15" customHeight="1">
      <c r="R37" s="44" cm="1">
        <f t="array" ref="R37:S38">R13:S14*R17+_xlfn.ANCHORARRAY(R30)*R34</f>
        <v>0.26013004751144442</v>
      </c>
      <c r="S37" s="44">
        <v>-7.6190326925723265E-2</v>
      </c>
      <c r="T37" s="3" t="s">
        <v>3</v>
      </c>
      <c r="U37" s="45" cm="1">
        <f t="array" ref="U37:U38">MMULT(_xlfn.ANCHORARRAY(R37),U22:U23)</f>
        <v>0.10774939365999789</v>
      </c>
      <c r="W37" s="38" cm="1">
        <f t="array" ref="W37:W38">W13:W14*_xlfn.ANCHORARRAY(W17)+_xlfn.ANCHORARRAY(W26)*_xlfn.ANCHORARRAY(W34)</f>
        <v>0.63946301704500641</v>
      </c>
      <c r="AB37" s="44" cm="1">
        <f t="array" ref="AB37:AC38">AB13:AC14*AB17+_xlfn.ANCHORARRAY(AB30)*AB34</f>
        <v>-21.113758740445501</v>
      </c>
      <c r="AC37" s="44">
        <v>-33.839181337040692</v>
      </c>
      <c r="AD37" s="3" t="s">
        <v>3</v>
      </c>
      <c r="AE37" s="45" cm="1">
        <f t="array" ref="AE37:AE38">MMULT(_xlfn.ANCHORARRAY(AB37),AE22:AE23)</f>
        <v>-8.3883361438503101</v>
      </c>
      <c r="AG37" s="38" cm="1">
        <f t="array" ref="AG37:AG38">AG13:AG14*_xlfn.ANCHORARRAY(AG17)+_xlfn.ANCHORARRAY(AG26)*_xlfn.ANCHORARRAY(AG34)</f>
        <v>-13.735134437831405</v>
      </c>
    </row>
    <row r="38" spans="8:34" ht="15" customHeight="1">
      <c r="K38" s="19"/>
      <c r="L38" s="20"/>
      <c r="R38" s="44">
        <v>0.52026009502288884</v>
      </c>
      <c r="S38" s="44">
        <v>-0.15238065385144653</v>
      </c>
      <c r="T38" s="3" t="s">
        <v>3</v>
      </c>
      <c r="U38" s="45">
        <v>0.21549878731999578</v>
      </c>
      <c r="V38" s="9"/>
      <c r="W38" s="23">
        <v>-3.3177731829328982E-2</v>
      </c>
      <c r="AB38" s="44">
        <v>42.988198692061694</v>
      </c>
      <c r="AC38" s="44">
        <v>67.455564305650697</v>
      </c>
      <c r="AD38" s="3" t="s">
        <v>3</v>
      </c>
      <c r="AE38" s="45">
        <v>18.520833078472691</v>
      </c>
      <c r="AF38" s="9"/>
      <c r="AG38" s="23">
        <v>-22.546576028761994</v>
      </c>
    </row>
    <row r="39" spans="8:34" ht="15" customHeight="1">
      <c r="U39" s="14" t="s">
        <v>26</v>
      </c>
      <c r="V39" s="5"/>
      <c r="W39" s="5"/>
      <c r="X39" s="5"/>
      <c r="AE39" s="14" t="s">
        <v>26</v>
      </c>
      <c r="AF39" s="5"/>
      <c r="AG39" s="5"/>
      <c r="AH39" s="5"/>
    </row>
    <row r="40" spans="8:34" ht="15" customHeight="1">
      <c r="U40" s="43" cm="1">
        <f t="array" ref="U40">MAX(ABS(MMULT(_xlfn.ANCHORARRAY(W37),TRANSPOSE(W34))),1)</f>
        <v>1</v>
      </c>
      <c r="V40" s="5"/>
      <c r="W40" s="5"/>
      <c r="X40" s="5"/>
      <c r="AE40" s="43" cm="1">
        <f t="array" ref="AE40">MAX(ABS(MMULT(_xlfn.ANCHORARRAY(AG37),TRANSPOSE(AG34))),1)</f>
        <v>452.86008531715703</v>
      </c>
      <c r="AF40" s="5"/>
      <c r="AG40" s="5"/>
      <c r="AH40" s="5"/>
    </row>
    <row r="41" spans="8:34" ht="15" customHeight="1">
      <c r="U41" s="3" t="s">
        <v>2</v>
      </c>
      <c r="V41" s="5"/>
      <c r="X41" s="5"/>
      <c r="AE41" s="3" t="s">
        <v>2</v>
      </c>
      <c r="AF41" s="5"/>
      <c r="AH41" s="5"/>
    </row>
    <row r="42" spans="8:34" ht="15" customHeight="1">
      <c r="Q42" s="14"/>
      <c r="S42"/>
      <c r="T42"/>
      <c r="U42" s="4"/>
      <c r="AA42" s="14"/>
      <c r="AC42"/>
      <c r="AD42"/>
      <c r="AE42" s="4"/>
    </row>
    <row r="43" spans="8:34" ht="15" customHeight="1">
      <c r="S43"/>
      <c r="T43"/>
      <c r="U43" s="28" cm="1">
        <f t="array" ref="U43:U44">_xlfn.ANCHORARRAY(U37)/U40</f>
        <v>0.10774939365999789</v>
      </c>
      <c r="AC43"/>
      <c r="AD43"/>
      <c r="AE43" s="28" cm="1">
        <f t="array" ref="AE43:AE44">_xlfn.ANCHORARRAY(AE37)/AE40</f>
        <v>-1.8523019395660811E-2</v>
      </c>
    </row>
    <row r="44" spans="8:34" ht="15" customHeight="1">
      <c r="S44"/>
      <c r="T44"/>
      <c r="U44" s="28">
        <v>0.21549878731999578</v>
      </c>
      <c r="AC44"/>
      <c r="AD44"/>
      <c r="AE44" s="28">
        <v>4.0897472925885643E-2</v>
      </c>
    </row>
    <row r="45" spans="8:34" ht="15" customHeight="1">
      <c r="S45"/>
      <c r="T45"/>
      <c r="U45" s="21" t="s">
        <v>23</v>
      </c>
      <c r="AC45"/>
      <c r="AD45"/>
      <c r="AE45" s="21" t="s">
        <v>23</v>
      </c>
    </row>
    <row r="46" spans="8:34" ht="15" customHeight="1" thickBot="1">
      <c r="J46" s="16"/>
      <c r="M46" s="16"/>
      <c r="Q46" s="15" t="s">
        <v>22</v>
      </c>
      <c r="S46"/>
      <c r="T46"/>
      <c r="U46" s="13"/>
      <c r="AA46" s="15" t="s">
        <v>22</v>
      </c>
      <c r="AC46"/>
      <c r="AD46"/>
      <c r="AE46" s="13"/>
    </row>
    <row r="47" spans="8:34" ht="15" customHeight="1">
      <c r="J47" s="34">
        <v>1</v>
      </c>
      <c r="K47" s="35">
        <v>1</v>
      </c>
      <c r="L47" s="35">
        <v>0</v>
      </c>
      <c r="M47" s="25">
        <v>1</v>
      </c>
      <c r="N47" s="3" t="s">
        <v>3</v>
      </c>
      <c r="O47" s="3"/>
      <c r="P47" s="6" cm="1">
        <f t="array" ref="P47:P48">MMULT($J47:$M48,P$6:P$9)</f>
        <v>4</v>
      </c>
      <c r="Q47" s="3" t="s">
        <v>21</v>
      </c>
      <c r="S47"/>
      <c r="T47"/>
      <c r="U47" s="22" cm="1">
        <f t="array" ref="U47:U48">1/(1+EXP(-_xlfn.ANCHORARRAY(P47)))</f>
        <v>0.98201379003790845</v>
      </c>
      <c r="Y47" s="3"/>
      <c r="Z47" s="6" cm="1">
        <f t="array" ref="Z47:Z48">MMULT($J47:$M48,Z$6:Z$9)</f>
        <v>2</v>
      </c>
      <c r="AA47" s="3" t="s">
        <v>21</v>
      </c>
      <c r="AC47"/>
      <c r="AD47"/>
      <c r="AE47" s="22" cm="1">
        <f t="array" ref="AE47:AE48">1/(1+EXP(-_xlfn.ANCHORARRAY(Z47)))</f>
        <v>0.88079707797788231</v>
      </c>
    </row>
    <row r="48" spans="8:34" ht="15" customHeight="1" thickBot="1">
      <c r="J48" s="36">
        <v>0</v>
      </c>
      <c r="K48" s="37">
        <v>0</v>
      </c>
      <c r="L48" s="37">
        <v>-1</v>
      </c>
      <c r="M48" s="26">
        <v>2</v>
      </c>
      <c r="N48" s="3" t="s">
        <v>3</v>
      </c>
      <c r="O48" s="3"/>
      <c r="P48" s="6">
        <v>1</v>
      </c>
      <c r="Q48" s="3" t="s">
        <v>21</v>
      </c>
      <c r="S48"/>
      <c r="T48"/>
      <c r="U48" s="22">
        <v>0.7310585786300049</v>
      </c>
      <c r="Y48" s="3"/>
      <c r="Z48" s="6">
        <v>1</v>
      </c>
      <c r="AA48" s="3" t="s">
        <v>21</v>
      </c>
      <c r="AC48"/>
      <c r="AD48"/>
      <c r="AE48" s="22">
        <v>0.7310585786300049</v>
      </c>
    </row>
    <row r="49" spans="19:31" ht="15" customHeight="1">
      <c r="S49"/>
      <c r="T49"/>
      <c r="U49" s="3" t="s">
        <v>2</v>
      </c>
      <c r="AC49"/>
      <c r="AD49"/>
      <c r="AE49" s="3" t="s">
        <v>2</v>
      </c>
    </row>
    <row r="50" spans="19:31" ht="15" customHeight="1">
      <c r="S50"/>
      <c r="T50"/>
      <c r="AC50"/>
      <c r="AD50"/>
    </row>
    <row r="51" spans="19:31" ht="15" customHeight="1">
      <c r="S51"/>
      <c r="T51"/>
      <c r="U51" s="28" cm="1">
        <f t="array" ref="U51:U52">_xlfn.ANCHORARRAY(U43)*_xlfn.ANCHORARRAY(U47)</f>
        <v>0.10581139044234111</v>
      </c>
      <c r="AC51"/>
      <c r="AD51"/>
      <c r="AE51" s="28" cm="1">
        <f t="array" ref="AE51:AE52">_xlfn.ANCHORARRAY(AE43)*_xlfn.ANCHORARRAY(AE47)</f>
        <v>-1.6315021359025683E-2</v>
      </c>
    </row>
    <row r="52" spans="19:31">
      <c r="S52"/>
      <c r="T52"/>
      <c r="U52" s="28">
        <v>0.15754223715464583</v>
      </c>
      <c r="AC52"/>
      <c r="AD52"/>
      <c r="AE52" s="28">
        <v>2.9898448426757065E-2</v>
      </c>
    </row>
    <row r="53" spans="19:31">
      <c r="U53" s="3" t="s">
        <v>2</v>
      </c>
      <c r="AE53" s="3" t="s">
        <v>2</v>
      </c>
    </row>
    <row r="55" spans="19:31">
      <c r="U55"/>
      <c r="AE55"/>
    </row>
    <row r="56" spans="19:31">
      <c r="U56"/>
      <c r="AE5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21B6-DF7E-2049-B359-4DAFE139AA10}">
  <dimension ref="A1:A21"/>
  <sheetViews>
    <sheetView workbookViewId="0">
      <selection activeCell="A21" sqref="A21"/>
    </sheetView>
  </sheetViews>
  <sheetFormatPr baseColWidth="10" defaultRowHeight="16"/>
  <cols>
    <col min="1" max="1" width="116.83203125" style="10" customWidth="1"/>
    <col min="2" max="16384" width="10.83203125" style="11"/>
  </cols>
  <sheetData>
    <row r="1" spans="1:1" ht="17">
      <c r="A1" s="10" t="s">
        <v>4</v>
      </c>
    </row>
    <row r="3" spans="1:1" ht="17">
      <c r="A3" s="10" t="s">
        <v>5</v>
      </c>
    </row>
    <row r="5" spans="1:1" ht="17">
      <c r="A5" s="10" t="s">
        <v>6</v>
      </c>
    </row>
    <row r="6" spans="1:1" ht="17">
      <c r="A6" s="10" t="s">
        <v>7</v>
      </c>
    </row>
    <row r="7" spans="1:1" ht="17">
      <c r="A7" s="10" t="s">
        <v>8</v>
      </c>
    </row>
    <row r="8" spans="1:1" ht="17">
      <c r="A8" s="10" t="s">
        <v>9</v>
      </c>
    </row>
    <row r="9" spans="1:1" ht="17">
      <c r="A9" s="10" t="s">
        <v>10</v>
      </c>
    </row>
    <row r="10" spans="1:1" ht="17">
      <c r="A10" s="10" t="s">
        <v>11</v>
      </c>
    </row>
    <row r="11" spans="1:1">
      <c r="A11" s="12"/>
    </row>
    <row r="12" spans="1:1" ht="17">
      <c r="A12" s="10" t="s">
        <v>12</v>
      </c>
    </row>
    <row r="13" spans="1:1" ht="17">
      <c r="A13" s="10" t="s">
        <v>13</v>
      </c>
    </row>
    <row r="15" spans="1:1" ht="17">
      <c r="A15" s="10" t="s">
        <v>14</v>
      </c>
    </row>
    <row r="16" spans="1:1" ht="17">
      <c r="A16" s="10" t="s">
        <v>15</v>
      </c>
    </row>
    <row r="17" spans="1:1" ht="17">
      <c r="A17" s="10" t="s">
        <v>16</v>
      </c>
    </row>
    <row r="18" spans="1:1" ht="17">
      <c r="A18" s="10" t="s">
        <v>17</v>
      </c>
    </row>
    <row r="19" spans="1:1" ht="17">
      <c r="A19" s="10" t="s">
        <v>18</v>
      </c>
    </row>
    <row r="20" spans="1:1" ht="17">
      <c r="A20" s="10" t="s">
        <v>19</v>
      </c>
    </row>
    <row r="21" spans="1:1" ht="17">
      <c r="A21" s="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mLSTM</vt:lpstr>
      <vt:lpstr>LICENSE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Yeh</cp:lastModifiedBy>
  <dcterms:modified xsi:type="dcterms:W3CDTF">2024-12-16T13:02:01Z</dcterms:modified>
</cp:coreProperties>
</file>